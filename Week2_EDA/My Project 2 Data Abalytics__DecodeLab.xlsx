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3R\Downloads\"/>
    </mc:Choice>
  </mc:AlternateContent>
  <xr:revisionPtr revIDLastSave="0" documentId="8_{62615475-3AB7-4299-8AAB-CC70B242A272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RAW" sheetId="2" r:id="rId1"/>
    <sheet name="CLEANED" sheetId="1" r:id="rId2"/>
    <sheet name="PROJECT 2" sheetId="3" r:id="rId3"/>
    <sheet name="BASIC STATS" sheetId="4" r:id="rId4"/>
    <sheet name="OUTLIER" sheetId="10" r:id="rId5"/>
    <sheet name="CORRELATION" sheetId="11" r:id="rId6"/>
    <sheet name="SUMMARY TABLE" sheetId="12" r:id="rId7"/>
    <sheet name="KEY OBSERVATION" sheetId="7" r:id="rId8"/>
  </sheets>
  <definedNames>
    <definedName name="ExternalData_1" localSheetId="2" hidden="1">'PROJECT 2'!$A$1:$N$1201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12" l="1"/>
  <c r="D31" i="12"/>
  <c r="D32" i="12"/>
  <c r="D33" i="12"/>
  <c r="D29" i="12"/>
  <c r="C30" i="12"/>
  <c r="C31" i="12"/>
  <c r="C32" i="12"/>
  <c r="C33" i="12"/>
  <c r="C29" i="12"/>
  <c r="B30" i="12"/>
  <c r="B31" i="12"/>
  <c r="B32" i="12"/>
  <c r="B33" i="12"/>
  <c r="B29" i="12"/>
  <c r="D22" i="12"/>
  <c r="D23" i="12"/>
  <c r="D24" i="12"/>
  <c r="D25" i="12"/>
  <c r="D21" i="12"/>
  <c r="C22" i="12"/>
  <c r="C23" i="12"/>
  <c r="C24" i="12"/>
  <c r="C25" i="12"/>
  <c r="C21" i="12"/>
  <c r="B22" i="12"/>
  <c r="B23" i="12"/>
  <c r="B24" i="12"/>
  <c r="B25" i="12"/>
  <c r="B21" i="12"/>
  <c r="D14" i="12"/>
  <c r="D15" i="12"/>
  <c r="D16" i="12"/>
  <c r="D17" i="12"/>
  <c r="D13" i="12"/>
  <c r="C14" i="12"/>
  <c r="C15" i="12"/>
  <c r="C16" i="12"/>
  <c r="C17" i="12"/>
  <c r="C13" i="12"/>
  <c r="B14" i="12"/>
  <c r="B15" i="12"/>
  <c r="B16" i="12"/>
  <c r="B17" i="12"/>
  <c r="B13" i="12"/>
  <c r="D4" i="12"/>
  <c r="D5" i="12"/>
  <c r="D6" i="12"/>
  <c r="D7" i="12"/>
  <c r="D8" i="12"/>
  <c r="D9" i="12"/>
  <c r="D3" i="12"/>
  <c r="C4" i="12"/>
  <c r="C5" i="12"/>
  <c r="C6" i="12"/>
  <c r="C7" i="12"/>
  <c r="C8" i="12"/>
  <c r="C9" i="12"/>
  <c r="C3" i="12"/>
  <c r="B4" i="12"/>
  <c r="B5" i="12"/>
  <c r="B6" i="12"/>
  <c r="B7" i="12"/>
  <c r="B8" i="12"/>
  <c r="B9" i="12"/>
  <c r="B3" i="12"/>
  <c r="D7" i="4"/>
  <c r="G10" i="11"/>
  <c r="E10" i="11"/>
  <c r="C10" i="11"/>
  <c r="I8" i="11"/>
  <c r="E8" i="11"/>
  <c r="C8" i="11"/>
  <c r="G6" i="11"/>
  <c r="C6" i="11"/>
  <c r="E4" i="11"/>
  <c r="I6" i="11"/>
  <c r="I4" i="11"/>
  <c r="G4" i="11"/>
  <c r="D8" i="10"/>
  <c r="D4" i="10"/>
  <c r="D3" i="10"/>
  <c r="D4" i="4"/>
  <c r="C9" i="4"/>
  <c r="C6" i="4"/>
  <c r="D9" i="4"/>
  <c r="B9" i="4"/>
  <c r="D8" i="4"/>
  <c r="C8" i="4"/>
  <c r="B8" i="4"/>
  <c r="C7" i="4"/>
  <c r="B7" i="4"/>
  <c r="D6" i="4"/>
  <c r="B6" i="4"/>
  <c r="D5" i="4"/>
  <c r="C5" i="4"/>
  <c r="B5" i="4"/>
  <c r="C4" i="4"/>
  <c r="B4" i="4"/>
  <c r="D5" i="10" l="1"/>
  <c r="D6" i="10" s="1"/>
  <c r="D7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437C9-CD3F-4FDE-94D7-D77ABE01925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<sst xmlns="http://schemas.openxmlformats.org/spreadsheetml/2006/main" count="32248" uniqueCount="4332">
  <si>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</si>
  <si>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</si>
  <si>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</si>
  <si>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</si>
  <si>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</si>
  <si>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</si>
  <si>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</si>
  <si>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</si>
  <si>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</si>
  <si>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</si>
  <si>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</si>
  <si>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</si>
  <si>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</si>
  <si>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</si>
  <si>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</si>
  <si>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</si>
  <si>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</si>
  <si>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</si>
  <si>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</si>
  <si>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</si>
  <si>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</si>
  <si>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</si>
  <si>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</si>
  <si>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</si>
  <si>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</si>
  <si>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</si>
  <si>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</si>
  <si>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</si>
  <si>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</si>
  <si>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</si>
  <si>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</si>
  <si>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</si>
  <si>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</si>
  <si>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</si>
  <si>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</si>
  <si>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</si>
  <si>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</si>
  <si>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</si>
  <si>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</si>
  <si>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</si>
  <si>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</si>
  <si>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</si>
  <si>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</si>
  <si>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</si>
  <si>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</si>
  <si>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</si>
  <si>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</si>
  <si>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</si>
  <si>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</si>
  <si>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</si>
  <si>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</si>
  <si>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</si>
  <si>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</si>
  <si>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</si>
  <si>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</si>
  <si>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</si>
  <si>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</si>
  <si>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</si>
  <si>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</si>
  <si>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</si>
  <si>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</si>
  <si>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</si>
  <si>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</si>
  <si>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</si>
  <si>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</si>
  <si>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</si>
  <si>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</si>
  <si>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</si>
  <si>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</si>
  <si>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</si>
  <si>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</si>
  <si>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</si>
  <si>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</si>
  <si>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</si>
  <si>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</si>
  <si>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</si>
  <si>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</si>
  <si>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</si>
  <si>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</si>
  <si>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</si>
  <si>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</si>
  <si>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</si>
  <si>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</si>
  <si>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</si>
  <si>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</si>
  <si>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</si>
  <si>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</si>
  <si>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</si>
  <si>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</si>
  <si>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</si>
  <si>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</si>
  <si>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</si>
  <si>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</si>
  <si>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</si>
  <si>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</si>
  <si>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</si>
  <si>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</si>
  <si>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</si>
  <si>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</si>
  <si>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</si>
  <si>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</si>
  <si>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</si>
  <si>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</si>
  <si>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</si>
  <si>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</si>
  <si>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</si>
  <si>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</si>
  <si>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</si>
  <si>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</si>
  <si>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</si>
  <si>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</si>
  <si>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</si>
  <si>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</si>
  <si>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</si>
  <si>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</si>
  <si>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</si>
  <si>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</si>
  <si>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</si>
  <si>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</si>
  <si>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</si>
  <si>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</si>
  <si>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</si>
  <si>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</si>
  <si>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</si>
  <si>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</si>
  <si>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</si>
  <si>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</si>
  <si>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</si>
  <si>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</si>
  <si>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</si>
  <si>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</si>
  <si>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</si>
  <si>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</si>
  <si>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</si>
  <si>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</si>
  <si>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</si>
  <si>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</si>
  <si>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</si>
  <si>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</si>
  <si>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</si>
  <si>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</si>
  <si>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</si>
  <si>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</si>
  <si>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</si>
  <si>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</si>
  <si>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</si>
  <si>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</si>
  <si>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</si>
  <si>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</si>
  <si>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</si>
  <si>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</si>
  <si>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</si>
  <si>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</si>
  <si>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</si>
  <si>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</si>
  <si>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</si>
  <si>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</si>
  <si>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</si>
  <si>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</si>
  <si>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</si>
  <si>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</si>
  <si>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</si>
  <si>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</si>
  <si>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</si>
  <si>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</si>
  <si>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</si>
  <si>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</si>
  <si>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</si>
  <si>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</si>
  <si>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</si>
  <si>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</si>
  <si>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</si>
  <si>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</si>
  <si>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</si>
  <si>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</si>
  <si>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</si>
  <si>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</si>
  <si>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</si>
  <si>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</si>
  <si>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</si>
  <si>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</si>
  <si>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</si>
  <si>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</si>
  <si>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</si>
  <si>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</si>
  <si>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</si>
  <si>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</si>
  <si>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</si>
  <si>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</si>
  <si>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</si>
  <si>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</si>
  <si>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</si>
  <si>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</si>
  <si>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</si>
  <si>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</si>
  <si>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</si>
  <si>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</si>
  <si>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</si>
  <si>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</si>
  <si>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</si>
  <si>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</si>
  <si>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</si>
  <si>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</si>
  <si>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</si>
  <si>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</si>
  <si>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</si>
  <si>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</si>
  <si>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</si>
  <si>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</si>
  <si>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</si>
  <si>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</si>
  <si>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</si>
  <si>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</si>
  <si>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</si>
  <si>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</si>
  <si>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</si>
  <si>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</si>
  <si>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</si>
  <si>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</si>
  <si>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</si>
  <si>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</si>
  <si>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</si>
  <si>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</si>
  <si>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</si>
  <si>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</si>
  <si>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</si>
  <si>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</si>
  <si>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</si>
  <si>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</si>
  <si>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</si>
  <si>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</si>
  <si>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</si>
  <si>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</si>
  <si>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</si>
  <si>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</si>
  <si>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</si>
  <si>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</si>
  <si>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</si>
  <si>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</si>
  <si>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</si>
  <si>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</si>
  <si>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</si>
  <si>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</si>
  <si>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</si>
  <si>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</si>
  <si>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</si>
  <si>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</si>
  <si>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</si>
  <si>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</si>
  <si>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</si>
  <si>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</si>
  <si>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</si>
  <si>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</si>
  <si>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</si>
  <si>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</si>
  <si>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</si>
  <si>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</si>
  <si>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</si>
  <si>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</si>
  <si>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</si>
  <si>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</si>
  <si>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</si>
  <si>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</si>
  <si>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</si>
  <si>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</si>
  <si>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</si>
  <si>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</si>
  <si>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</si>
  <si>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</si>
  <si>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</si>
  <si>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</si>
  <si>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</si>
  <si>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</si>
  <si>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</si>
  <si>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</si>
  <si>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</si>
  <si>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</si>
  <si>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</si>
  <si>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</si>
  <si>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</si>
  <si>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</si>
  <si>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</si>
  <si>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</si>
  <si>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</si>
  <si>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</si>
  <si>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</si>
  <si>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</si>
  <si>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</si>
  <si>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</si>
  <si>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</si>
  <si>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</si>
  <si>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</si>
  <si>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</si>
  <si>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</si>
  <si>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</si>
  <si>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</si>
  <si>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</si>
  <si>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</si>
  <si>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</si>
  <si>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</si>
  <si>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</si>
  <si>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</si>
  <si>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</si>
  <si>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</si>
  <si>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</si>
  <si>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</si>
  <si>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</si>
  <si>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</si>
  <si>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</si>
  <si>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</si>
  <si>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</si>
  <si>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</si>
  <si>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</si>
  <si>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</si>
  <si>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</si>
  <si>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</si>
  <si>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</si>
  <si>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</si>
  <si>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</si>
  <si>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</si>
  <si>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</si>
  <si>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</si>
  <si>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</si>
  <si>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</si>
  <si>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</si>
  <si>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</si>
  <si>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</si>
  <si>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</si>
  <si>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</si>
  <si>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</si>
  <si>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</si>
  <si>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</si>
  <si>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</si>
  <si>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</si>
  <si>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</si>
  <si>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</si>
  <si>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</si>
  <si>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</si>
  <si>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</si>
  <si>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</si>
  <si>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</si>
  <si>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</si>
  <si>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</si>
  <si>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</si>
  <si>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</si>
  <si>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</si>
  <si>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</si>
  <si>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</si>
  <si>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</si>
  <si>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</si>
  <si>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</si>
  <si>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</si>
  <si>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</si>
  <si>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</si>
  <si>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</si>
  <si>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</si>
  <si>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</si>
  <si>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</si>
  <si>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</si>
  <si>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</si>
  <si>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</si>
  <si>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</si>
  <si>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</si>
  <si>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</si>
  <si>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</si>
  <si>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</si>
  <si>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</si>
  <si>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</si>
  <si>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</si>
  <si>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</si>
  <si>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</si>
  <si>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</si>
  <si>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</si>
  <si>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</si>
  <si>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</si>
  <si>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</si>
  <si>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</si>
  <si>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</si>
  <si>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</si>
  <si>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</si>
  <si>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</si>
  <si>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</si>
  <si>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</si>
  <si>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</si>
  <si>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</si>
  <si>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</si>
  <si>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</si>
  <si>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</si>
  <si>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</si>
  <si>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</si>
  <si>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</si>
  <si>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</si>
  <si>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</si>
  <si>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</si>
  <si>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</si>
  <si>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</si>
  <si>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</si>
  <si>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</si>
  <si>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</si>
  <si>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</si>
  <si>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</si>
  <si>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</si>
  <si>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</si>
  <si>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</si>
  <si>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</si>
  <si>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</si>
  <si>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</si>
  <si>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</si>
  <si>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</si>
  <si>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</si>
  <si>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</si>
  <si>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</si>
  <si>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</si>
  <si>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</si>
  <si>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</si>
  <si>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</si>
  <si>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</si>
  <si>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</si>
  <si>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</si>
  <si>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</si>
  <si>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</si>
  <si>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</si>
  <si>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</si>
  <si>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</si>
  <si>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</si>
  <si>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</si>
  <si>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</si>
  <si>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</si>
  <si>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</si>
  <si>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</si>
  <si>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</si>
  <si>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</si>
  <si>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</si>
  <si>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</si>
  <si>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</si>
  <si>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</si>
  <si>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</si>
  <si>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</si>
  <si>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</si>
  <si>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</si>
  <si>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</si>
  <si>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</si>
  <si>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</si>
  <si>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</si>
  <si>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</si>
  <si>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</si>
  <si>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</si>
  <si>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</si>
  <si>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</si>
  <si>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</si>
  <si>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</si>
  <si>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</si>
  <si>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</si>
  <si>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</si>
  <si>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</si>
  <si>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</si>
  <si>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</si>
  <si>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</si>
  <si>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</si>
  <si>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</si>
  <si>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</si>
  <si>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</si>
  <si>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</si>
  <si>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</si>
  <si>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</si>
  <si>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</si>
  <si>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</si>
  <si>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</si>
  <si>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</si>
  <si>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</si>
  <si>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</si>
  <si>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</si>
  <si>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</si>
  <si>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</si>
  <si>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</si>
  <si>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</si>
  <si>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</si>
  <si>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</si>
  <si>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</si>
  <si>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</si>
  <si>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</si>
  <si>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</si>
  <si>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</si>
  <si>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</si>
  <si>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</si>
  <si>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</si>
  <si>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</si>
  <si>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</si>
  <si>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</si>
  <si>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</si>
  <si>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</si>
  <si>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</si>
  <si>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</si>
  <si>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</si>
  <si>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</si>
  <si>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</si>
  <si>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</si>
  <si>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</si>
  <si>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</si>
  <si>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</si>
  <si>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</si>
  <si>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</si>
  <si>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</si>
  <si>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</si>
  <si>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</si>
  <si>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</si>
  <si>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</si>
  <si>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</si>
  <si>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</si>
  <si>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</si>
  <si>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</si>
  <si>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</si>
  <si>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</si>
  <si>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</si>
  <si>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</si>
  <si>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</si>
  <si>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</si>
  <si>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</si>
  <si>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</si>
  <si>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</si>
  <si>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</si>
  <si>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</si>
  <si>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</si>
  <si>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</si>
  <si>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</si>
  <si>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</si>
  <si>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</si>
  <si>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</si>
  <si>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</si>
  <si>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</si>
  <si>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</si>
  <si>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</si>
  <si>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</si>
  <si>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</si>
  <si>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</si>
  <si>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</si>
  <si>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</si>
  <si>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</si>
  <si>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</si>
  <si>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</si>
  <si>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</si>
  <si>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</si>
  <si>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</si>
  <si>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</si>
  <si>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</si>
  <si>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</si>
  <si>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</si>
  <si>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</si>
  <si>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</si>
  <si>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</si>
  <si>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</si>
  <si>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</si>
  <si>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</si>
  <si>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</si>
  <si>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</si>
  <si>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</si>
  <si>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</si>
  <si>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</si>
  <si>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</si>
  <si>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</si>
  <si>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</si>
  <si>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</si>
  <si>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</si>
  <si>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</si>
  <si>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</si>
  <si>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</si>
  <si>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</si>
  <si>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</si>
  <si>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</si>
  <si>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</si>
  <si>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</si>
  <si>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</si>
  <si>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</si>
  <si>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</si>
  <si>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</si>
  <si>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</si>
  <si>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</si>
  <si>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</si>
  <si>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</si>
  <si>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</si>
  <si>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</si>
  <si>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</si>
  <si>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</si>
  <si>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</si>
  <si>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</si>
  <si>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</si>
  <si>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</si>
  <si>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</si>
  <si>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</si>
  <si>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</si>
  <si>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</si>
  <si>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</si>
  <si>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</si>
  <si>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</si>
  <si>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</si>
  <si>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</si>
  <si>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</si>
  <si>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</si>
  <si>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</si>
  <si>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</si>
  <si>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</si>
  <si>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</si>
  <si>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</si>
  <si>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</si>
  <si>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</si>
  <si>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</si>
  <si>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</si>
  <si>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</si>
  <si>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</si>
  <si>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</si>
  <si>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</si>
  <si>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</si>
  <si>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</si>
  <si>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</si>
  <si>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</si>
  <si>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</si>
  <si>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</si>
  <si>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</si>
  <si>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</si>
  <si>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</si>
  <si>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</si>
  <si>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</si>
  <si>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</si>
  <si>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</si>
  <si>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</si>
  <si>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</si>
  <si>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</si>
  <si>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</si>
  <si>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</si>
  <si>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</si>
  <si>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</si>
  <si>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</si>
  <si>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</si>
  <si>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</si>
  <si>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</si>
  <si>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</si>
  <si>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</si>
  <si>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</si>
  <si>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</si>
  <si>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</si>
  <si>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</si>
  <si>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</si>
  <si>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</si>
  <si>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</si>
  <si>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</si>
  <si>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</si>
  <si>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</si>
  <si>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</si>
  <si>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</si>
  <si>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</si>
  <si>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</si>
  <si>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</si>
  <si>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</si>
  <si>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</si>
  <si>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</si>
  <si>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</si>
  <si>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</si>
  <si>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</si>
  <si>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</si>
  <si>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</si>
  <si>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</si>
  <si>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</si>
  <si>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</si>
  <si>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</si>
  <si>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</si>
  <si>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</si>
  <si>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</si>
  <si>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</si>
  <si>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</si>
  <si>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</si>
  <si>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</si>
  <si>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</si>
  <si>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</si>
  <si>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</si>
  <si>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</si>
  <si>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</si>
  <si>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</si>
  <si>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</si>
  <si>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</si>
  <si>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</si>
  <si>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</si>
  <si>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</si>
  <si>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</si>
  <si>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</si>
  <si>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</si>
  <si>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</si>
  <si>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</si>
  <si>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</si>
  <si>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</si>
  <si>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</si>
  <si>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</si>
  <si>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</si>
  <si>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</si>
  <si>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</si>
  <si>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</si>
  <si>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</si>
  <si>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</si>
  <si>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</si>
  <si>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</si>
  <si>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</si>
  <si>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</si>
  <si>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</si>
  <si>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</si>
  <si>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</si>
  <si>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</si>
  <si>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</si>
  <si>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</si>
  <si>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</si>
  <si>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</si>
  <si>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</si>
  <si>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</si>
  <si>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</si>
  <si>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</si>
  <si>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</si>
  <si>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</si>
  <si>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</si>
  <si>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</si>
  <si>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</si>
  <si>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</si>
  <si>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</si>
  <si>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</si>
  <si>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</si>
  <si>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</si>
  <si>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</si>
  <si>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</si>
  <si>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</si>
  <si>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</si>
  <si>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</si>
  <si>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</si>
  <si>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</si>
  <si>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</si>
  <si>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</si>
  <si>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</si>
  <si>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</si>
  <si>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</si>
  <si>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</si>
  <si>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</si>
  <si>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</si>
  <si>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</si>
  <si>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</si>
  <si>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</si>
  <si>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</si>
  <si>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</si>
  <si>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</si>
  <si>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</si>
  <si>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</si>
  <si>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</si>
  <si>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</si>
  <si>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</si>
  <si>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</si>
  <si>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</si>
  <si>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</si>
  <si>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</si>
  <si>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</si>
  <si>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</si>
  <si>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</si>
  <si>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</si>
  <si>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</si>
  <si>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</si>
  <si>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</si>
  <si>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</si>
  <si>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</si>
  <si>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</si>
  <si>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</si>
  <si>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</si>
  <si>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</si>
  <si>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</si>
  <si>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</si>
  <si>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</si>
  <si>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</si>
  <si>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</si>
  <si>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</si>
  <si>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</si>
  <si>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</si>
  <si>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</si>
  <si>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</si>
  <si>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</si>
  <si>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</si>
  <si>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</si>
  <si>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</si>
  <si>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</si>
  <si>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</si>
  <si>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</si>
  <si>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</si>
  <si>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</si>
  <si>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</si>
  <si>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</si>
  <si>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</si>
  <si>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</si>
  <si>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</si>
  <si>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</si>
  <si>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</si>
  <si>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</si>
  <si>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</si>
  <si>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</si>
  <si>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</si>
  <si>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</si>
  <si>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</si>
  <si>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</si>
  <si>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</si>
  <si>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</si>
  <si>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</si>
  <si>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</si>
  <si>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</si>
  <si>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</si>
  <si>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</si>
  <si>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</si>
  <si>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</si>
  <si>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</si>
  <si>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</si>
  <si>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</si>
  <si>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</si>
  <si>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</si>
  <si>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</si>
  <si>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</si>
  <si>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</si>
  <si>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</si>
  <si>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</si>
  <si>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</si>
  <si>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</si>
  <si>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</si>
  <si>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</si>
  <si>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</si>
  <si>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</si>
  <si>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</si>
  <si>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</si>
  <si>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</si>
  <si>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</si>
  <si>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</si>
  <si>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</si>
  <si>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</si>
  <si>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</si>
  <si>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</si>
  <si>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</si>
  <si>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</si>
  <si>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</si>
  <si>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</si>
  <si>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</si>
  <si>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</si>
  <si>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</si>
  <si>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</si>
  <si>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</si>
  <si>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</si>
  <si>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</si>
  <si>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</si>
  <si>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</si>
  <si>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</si>
  <si>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</si>
  <si>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</si>
  <si>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</si>
  <si>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</si>
  <si>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</si>
  <si>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</si>
  <si>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</si>
  <si>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</si>
  <si>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</si>
  <si>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</si>
  <si>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</si>
  <si>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</si>
  <si>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</si>
  <si>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</si>
  <si>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</si>
  <si>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</si>
  <si>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</si>
  <si>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</si>
  <si>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</si>
  <si>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</si>
  <si>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</si>
  <si>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</si>
  <si>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</si>
  <si>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</si>
  <si>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</si>
  <si>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</si>
  <si>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</si>
  <si>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</si>
  <si>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</si>
  <si>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</si>
  <si>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</si>
  <si>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</si>
  <si>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</si>
  <si>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</si>
  <si>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</si>
  <si>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</si>
  <si>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</si>
  <si>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</si>
  <si>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</si>
  <si>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</si>
  <si>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</si>
  <si>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</si>
  <si>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</si>
  <si>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</si>
  <si>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</si>
  <si>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</si>
  <si>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</si>
  <si>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</si>
  <si>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</si>
  <si>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</si>
  <si>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</si>
  <si>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</si>
  <si>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</si>
  <si>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</si>
  <si>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</si>
  <si>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</si>
  <si>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</si>
  <si>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</si>
  <si>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</si>
  <si>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</si>
  <si>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</si>
  <si>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</si>
  <si>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</si>
  <si>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</si>
  <si>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</si>
  <si>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</si>
  <si>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</si>
  <si>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</si>
  <si>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</si>
  <si>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</si>
  <si>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</si>
  <si>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</si>
  <si>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</si>
  <si>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</si>
  <si>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</si>
  <si>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</si>
  <si>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</si>
  <si>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</si>
  <si>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</si>
  <si>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</si>
  <si>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</si>
  <si>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</si>
  <si>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</si>
  <si>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</si>
  <si>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</si>
  <si>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</si>
  <si>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</si>
  <si>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</si>
  <si>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</si>
  <si>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</si>
  <si>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</si>
  <si>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</si>
  <si>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</si>
  <si>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</si>
  <si>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</si>
  <si>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</si>
  <si>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</si>
  <si>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</si>
  <si>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</si>
  <si>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</si>
  <si>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</si>
  <si>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</si>
  <si>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</si>
  <si>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</si>
  <si>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</si>
  <si>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</si>
  <si>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</si>
  <si>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</si>
  <si>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</si>
  <si>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</si>
  <si>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</si>
  <si>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</si>
  <si>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</si>
  <si>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</si>
  <si>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</si>
  <si>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</si>
  <si>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</si>
  <si>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</si>
  <si>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</si>
  <si>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</si>
  <si>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</si>
  <si>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</si>
  <si>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</si>
  <si>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</si>
  <si>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</si>
  <si>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</si>
  <si>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</si>
  <si>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</si>
  <si>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</si>
  <si>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</si>
  <si>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</si>
  <si>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</si>
  <si>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</si>
  <si>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</si>
  <si>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</si>
  <si>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</si>
  <si>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</si>
  <si>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</si>
  <si>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</si>
  <si>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</si>
  <si>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</si>
  <si>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</si>
  <si>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</si>
  <si>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</si>
  <si>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</si>
  <si>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</si>
  <si>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</si>
  <si>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</si>
  <si>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</si>
  <si>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</si>
  <si>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</si>
  <si>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</si>
  <si>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</si>
  <si>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</si>
  <si>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</si>
  <si>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</si>
  <si>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</si>
  <si>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</si>
  <si>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</si>
  <si>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</si>
  <si>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</si>
  <si>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</si>
  <si>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</si>
  <si>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</si>
  <si>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</si>
  <si>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</si>
  <si>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</si>
  <si>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</si>
  <si>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</si>
  <si>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</si>
  <si>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</si>
  <si>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</si>
  <si>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</si>
  <si>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</si>
  <si>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</si>
  <si>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</si>
  <si>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</si>
  <si>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</si>
  <si>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</si>
  <si>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</si>
  <si>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</si>
  <si>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</si>
  <si>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</si>
  <si>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</si>
  <si>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</si>
  <si>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</si>
  <si>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</si>
  <si>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</si>
  <si>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</si>
  <si>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</si>
  <si>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</si>
  <si>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</si>
  <si>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</si>
  <si>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</si>
  <si>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</si>
  <si>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</si>
  <si>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</si>
  <si>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</si>
  <si>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</si>
  <si>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</si>
  <si>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</si>
  <si>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</si>
  <si>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</si>
  <si>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</si>
  <si>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</si>
  <si>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</si>
  <si>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</si>
  <si>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</si>
  <si>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</si>
  <si>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</si>
  <si>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</si>
  <si>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</si>
  <si>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</si>
  <si>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</si>
  <si>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</si>
  <si>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</si>
  <si>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</si>
  <si>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</si>
  <si>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</si>
  <si>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</si>
  <si>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</si>
  <si>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</si>
  <si>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</si>
  <si>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</si>
  <si>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</si>
  <si>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</si>
  <si>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</si>
  <si>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</si>
  <si>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</si>
  <si>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</si>
  <si>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</si>
  <si>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</si>
  <si>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</si>
  <si>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</si>
  <si>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</si>
  <si>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</si>
  <si>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</si>
  <si>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</si>
  <si>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</si>
  <si>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</si>
  <si>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</si>
  <si>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</si>
  <si>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</si>
  <si>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</si>
  <si>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</si>
  <si>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</si>
  <si>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</si>
  <si>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</si>
  <si>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</si>
  <si>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</si>
  <si>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</si>
  <si>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</si>
  <si>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</si>
  <si>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</si>
  <si>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</si>
  <si>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</si>
  <si>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</si>
  <si>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</si>
  <si>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</si>
  <si>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</si>
  <si>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</si>
  <si>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</si>
  <si>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</si>
  <si>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</si>
  <si>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</si>
  <si>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</si>
  <si>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</si>
  <si>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</si>
  <si>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</si>
  <si>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</si>
  <si>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</si>
  <si>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</si>
  <si>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</si>
  <si>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</si>
  <si>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</si>
  <si>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</si>
  <si>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</si>
  <si>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</si>
  <si>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</si>
  <si>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</si>
  <si>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</si>
  <si>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</si>
  <si>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</si>
  <si>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</si>
  <si>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</si>
  <si>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</si>
  <si>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</si>
  <si>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</si>
  <si>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</si>
  <si>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</si>
  <si>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</si>
  <si>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</si>
  <si>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</si>
  <si>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</si>
  <si>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</si>
  <si>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</si>
  <si>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</si>
  <si>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</si>
  <si>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</si>
  <si>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</si>
  <si>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</si>
  <si>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</si>
  <si>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</si>
  <si>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</si>
  <si>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</si>
  <si>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</si>
  <si>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</si>
  <si>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</si>
  <si>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</si>
  <si>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</si>
  <si>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</si>
  <si>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</si>
  <si>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</si>
  <si>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</si>
  <si>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</si>
  <si>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</si>
  <si>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</si>
  <si>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</si>
  <si>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</si>
  <si>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</si>
  <si>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</si>
  <si>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</si>
  <si>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</si>
  <si>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</si>
  <si>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</si>
  <si>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</si>
  <si>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</si>
  <si>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</si>
  <si>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</si>
  <si>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</si>
  <si>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</si>
  <si>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</si>
  <si>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</si>
  <si>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</si>
  <si>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</si>
  <si>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</si>
  <si>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</si>
  <si>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</si>
  <si>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</si>
  <si>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</si>
  <si>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</si>
  <si>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</si>
  <si>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</si>
  <si>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</si>
  <si>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</si>
  <si>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</si>
  <si>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</si>
  <si>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</si>
  <si>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</si>
  <si>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</si>
  <si>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</si>
  <si>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</si>
  <si>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</si>
  <si>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</si>
  <si>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</si>
  <si>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</si>
  <si>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</si>
  <si>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</si>
  <si>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</si>
  <si>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</si>
  <si>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</si>
  <si>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</si>
  <si>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</si>
  <si>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</si>
  <si>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</si>
  <si>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</si>
  <si>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</si>
  <si>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</si>
  <si>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</si>
  <si>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</si>
  <si>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</si>
  <si>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</si>
  <si>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</si>
  <si>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</si>
  <si>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</si>
  <si>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</si>
  <si>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</si>
  <si>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</si>
  <si>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</si>
  <si>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</si>
  <si>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</si>
  <si>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</si>
  <si>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</si>
  <si>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</si>
  <si>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</si>
  <si>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</si>
  <si>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</si>
  <si>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</si>
  <si>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</si>
  <si>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</si>
  <si>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</si>
  <si>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</si>
  <si>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</si>
  <si>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</si>
  <si>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</si>
  <si>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</si>
  <si>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</si>
  <si>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</si>
  <si>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</si>
  <si>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</si>
  <si>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</si>
  <si>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</si>
  <si>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</si>
  <si>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</si>
  <si>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</si>
  <si>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</si>
  <si>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</si>
  <si>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</si>
  <si>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</si>
  <si>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</si>
  <si>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</si>
  <si>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</si>
  <si>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</si>
  <si>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</si>
  <si>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</si>
  <si>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</si>
  <si>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</si>
  <si>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</si>
  <si>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</si>
  <si>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</si>
  <si>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</si>
  <si>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</si>
  <si>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</si>
  <si>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</si>
  <si>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</si>
  <si>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</si>
  <si>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</si>
  <si>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</si>
  <si>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</si>
  <si>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</si>
  <si>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</si>
  <si>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</si>
  <si>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</si>
  <si>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</si>
  <si>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</si>
  <si>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</si>
  <si>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</si>
  <si>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</si>
  <si>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</si>
  <si>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</si>
  <si>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</si>
  <si>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</si>
  <si>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</si>
  <si>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</si>
  <si>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</si>
  <si>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</si>
  <si>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</si>
  <si>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</si>
  <si>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</si>
  <si>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</si>
  <si>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</si>
  <si>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</si>
  <si>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</si>
  <si>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</si>
  <si>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</si>
  <si>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</si>
  <si>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</si>
  <si>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</si>
  <si>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</si>
  <si>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</si>
  <si>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</si>
  <si>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</si>
  <si>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</si>
  <si>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</si>
  <si>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</si>
  <si>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</si>
  <si>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</si>
  <si>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</si>
  <si>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</si>
  <si>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</si>
  <si>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</si>
  <si>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</si>
  <si>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</si>
  <si>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</si>
  <si>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</si>
  <si>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</si>
  <si>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</si>
  <si>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</si>
  <si>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</si>
  <si>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</si>
  <si>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</si>
  <si>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</si>
  <si>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</si>
  <si>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</si>
  <si>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</si>
  <si>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</si>
  <si>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</si>
  <si>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</si>
  <si>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</si>
  <si>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</si>
  <si>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</si>
  <si>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</si>
  <si>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</si>
  <si>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</si>
  <si>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</si>
  <si>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</si>
  <si>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</si>
  <si>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</si>
  <si>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</si>
  <si>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</si>
  <si>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</si>
  <si>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</si>
  <si>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</si>
  <si>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</si>
  <si>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</si>
  <si>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</si>
  <si>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</si>
  <si>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</si>
  <si>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</si>
  <si>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</si>
  <si>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</si>
  <si>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</si>
  <si>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</si>
  <si>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</si>
  <si>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</si>
  <si>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</si>
  <si>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</si>
  <si>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</si>
  <si>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</si>
  <si>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</si>
  <si>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</si>
  <si>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</si>
  <si>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</si>
  <si>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</si>
  <si>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</si>
  <si>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</si>
  <si>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</si>
  <si>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</si>
  <si>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</si>
  <si>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</si>
  <si>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</si>
  <si>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</si>
  <si>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</si>
  <si>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</si>
  <si>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</si>
  <si>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</si>
  <si>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</si>
  <si>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</si>
  <si>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</si>
  <si>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</si>
  <si>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</si>
  <si>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</si>
  <si>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</si>
  <si>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</si>
  <si>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</si>
  <si>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</si>
  <si>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</si>
  <si>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</si>
  <si>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</si>
  <si>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</si>
  <si>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</si>
  <si>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</si>
  <si>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</si>
  <si>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</si>
  <si>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</si>
  <si>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</si>
  <si>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</si>
  <si>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</si>
  <si>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</si>
  <si>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</si>
  <si>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</si>
  <si>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</si>
  <si>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</si>
  <si>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</si>
  <si>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</si>
  <si>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</si>
  <si>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</si>
  <si>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</si>
  <si>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</si>
  <si>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</si>
  <si>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</si>
  <si>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</si>
  <si>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</si>
  <si>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</si>
  <si>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</si>
  <si>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</si>
  <si>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</si>
  <si>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</si>
  <si>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</si>
  <si>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</si>
  <si>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</si>
  <si>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</si>
  <si>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</si>
  <si>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</si>
  <si>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</si>
  <si>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</si>
  <si>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</si>
  <si>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</si>
  <si>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</si>
  <si>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</si>
  <si>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</si>
  <si>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</si>
  <si>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</si>
  <si>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</si>
  <si>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</si>
  <si>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</si>
  <si>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</si>
  <si>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</si>
  <si>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</si>
  <si>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</si>
  <si>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</si>
  <si>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</si>
  <si>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</si>
  <si>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</si>
  <si>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</si>
  <si>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</si>
  <si>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</si>
  <si>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</si>
  <si>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</si>
  <si>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</si>
  <si>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</si>
  <si>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</si>
  <si>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</si>
  <si>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</si>
  <si>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</si>
  <si>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</si>
  <si>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</si>
  <si>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</si>
  <si>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</si>
  <si>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</si>
  <si>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</si>
  <si>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</si>
  <si>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</si>
  <si>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</si>
  <si>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</si>
  <si>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</si>
  <si>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</si>
  <si>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</si>
  <si>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</si>
  <si>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</si>
  <si>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</si>
  <si>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</si>
  <si>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</si>
  <si>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</si>
  <si>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</si>
  <si>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</si>
  <si>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</si>
  <si>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</si>
  <si>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</si>
  <si>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</si>
  <si>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</si>
  <si>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</si>
  <si>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</si>
  <si>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</si>
  <si>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</si>
  <si>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</si>
  <si>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</si>
  <si>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</si>
  <si>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</si>
  <si>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</si>
  <si>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</si>
  <si>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</si>
  <si>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</si>
  <si>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</si>
  <si>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</si>
  <si>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</si>
  <si>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</si>
  <si>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</si>
  <si>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</si>
  <si>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</si>
  <si>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</si>
  <si>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</si>
  <si>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</si>
  <si>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</si>
  <si>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</si>
  <si>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</si>
  <si>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</si>
  <si>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</si>
  <si>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</si>
  <si>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</si>
  <si>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</si>
  <si>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</si>
  <si>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</si>
  <si>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</si>
  <si>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</si>
  <si>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</si>
  <si>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</si>
  <si>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</si>
  <si>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</si>
  <si>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</si>
  <si>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</si>
  <si>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</si>
  <si>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</si>
  <si>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</si>
  <si>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</si>
  <si>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</si>
  <si>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</si>
  <si>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</si>
  <si>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</si>
  <si>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</si>
  <si>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</si>
  <si>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</si>
  <si>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</si>
  <si>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</si>
  <si>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</si>
  <si>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</si>
  <si>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</si>
  <si>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</si>
  <si>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</si>
  <si>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</si>
  <si>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</si>
  <si>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</si>
  <si>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</si>
  <si>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</si>
  <si>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</si>
  <si>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</si>
  <si>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</si>
  <si>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</si>
  <si>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</si>
  <si>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</si>
  <si>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</si>
  <si>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</si>
  <si>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</si>
  <si>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</si>
  <si>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</si>
  <si>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</si>
  <si>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</si>
  <si>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</si>
  <si>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</si>
  <si>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</si>
  <si>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</si>
  <si>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</si>
  <si>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</si>
  <si>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</si>
  <si>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</si>
  <si>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</si>
  <si>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</si>
  <si>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</si>
  <si>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</si>
  <si>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</si>
  <si>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</si>
  <si>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</si>
  <si>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</si>
  <si>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</si>
  <si>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</si>
  <si>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</si>
  <si>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</si>
  <si>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</si>
  <si>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</si>
  <si>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</si>
  <si>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</si>
  <si>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</si>
  <si>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</si>
  <si>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</si>
  <si>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</si>
  <si>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</si>
  <si>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</si>
  <si>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</si>
  <si>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</si>
  <si>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</si>
  <si>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</si>
  <si>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</si>
  <si>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</si>
  <si>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</si>
  <si>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</si>
  <si>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</si>
  <si>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</si>
  <si>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</si>
  <si>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</si>
  <si>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</si>
  <si>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</si>
  <si>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</si>
  <si>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</si>
  <si>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</si>
  <si>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</si>
  <si>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</si>
  <si>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</si>
  <si>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</si>
  <si>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</si>
  <si>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</si>
  <si>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</si>
  <si>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</si>
  <si>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</si>
  <si>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</si>
  <si>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</si>
  <si>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</si>
  <si>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</si>
  <si>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</si>
  <si>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</si>
  <si>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</si>
  <si>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</si>
  <si>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</si>
  <si>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</si>
  <si>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</si>
  <si>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</si>
  <si>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</si>
  <si>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</si>
  <si>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</si>
  <si>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</si>
  <si>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</si>
  <si>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</si>
  <si>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</si>
  <si>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</si>
  <si>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</si>
  <si>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</si>
  <si>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</si>
  <si>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</si>
  <si>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</si>
  <si>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</si>
  <si>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</si>
  <si>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</si>
  <si>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</si>
  <si>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</si>
  <si>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</si>
  <si>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</si>
  <si>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</si>
  <si>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</si>
  <si>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</si>
  <si>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</si>
  <si>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</si>
  <si>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</si>
  <si>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</si>
  <si>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</si>
  <si>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</si>
  <si>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</si>
  <si>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</si>
  <si>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</si>
  <si>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</si>
  <si>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</si>
  <si>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</si>
  <si>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</si>
  <si>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</si>
  <si>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</si>
  <si>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</si>
  <si>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</si>
  <si>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</si>
  <si>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</si>
  <si>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</si>
  <si>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</si>
  <si>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</si>
  <si>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</si>
  <si>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</si>
  <si>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</si>
  <si>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</si>
  <si>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</si>
  <si>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</si>
  <si>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</si>
  <si>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</si>
  <si>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</si>
  <si>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</si>
  <si>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</si>
  <si>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</si>
  <si>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</si>
  <si>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</si>
  <si>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</si>
  <si>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</si>
  <si>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</si>
  <si>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</si>
  <si>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</si>
  <si>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</si>
  <si>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</si>
  <si>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</si>
  <si>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</si>
  <si>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</si>
  <si>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</si>
  <si>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</si>
  <si>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</si>
  <si>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</si>
  <si>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</si>
  <si>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</si>
  <si>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</si>
  <si>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</si>
  <si>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</si>
  <si>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</si>
  <si>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</si>
  <si>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</si>
  <si>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</si>
  <si>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</si>
  <si>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</si>
  <si>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</si>
  <si>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</si>
  <si>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</si>
  <si>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</si>
  <si>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</si>
  <si>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</si>
  <si>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</si>
  <si>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</si>
  <si>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</si>
  <si>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</si>
  <si>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</si>
  <si>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</si>
  <si>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</si>
  <si>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</si>
  <si>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</si>
  <si>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</si>
  <si>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</si>
  <si>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</si>
  <si>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</si>
  <si>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</si>
  <si>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</si>
  <si>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</si>
  <si>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</si>
  <si>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</si>
  <si>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</si>
  <si>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</si>
  <si>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</si>
  <si>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</si>
  <si>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</si>
  <si>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</si>
  <si>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</si>
  <si>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</si>
  <si>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</si>
  <si>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</si>
  <si>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</si>
  <si>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</si>
  <si>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</si>
  <si>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</si>
  <si>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</si>
  <si>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</si>
  <si>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</si>
  <si>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</si>
  <si>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</si>
  <si>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</si>
  <si>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</si>
  <si>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</si>
  <si>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</si>
  <si>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</si>
  <si>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</si>
  <si>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</si>
  <si>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</si>
  <si>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</si>
  <si>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</si>
  <si>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</si>
  <si>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</si>
  <si>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</si>
  <si>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</si>
  <si>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</si>
  <si>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</si>
  <si>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</si>
  <si>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</si>
  <si>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</si>
  <si>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</si>
  <si>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</si>
  <si>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</si>
  <si>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</si>
  <si>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</si>
  <si>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</si>
  <si>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</si>
  <si>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</si>
  <si>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</si>
  <si>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</si>
  <si>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</si>
  <si>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</si>
  <si>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</si>
  <si>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</si>
  <si>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</si>
  <si>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</si>
  <si>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</si>
  <si>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</si>
  <si>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</si>
  <si>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</si>
  <si>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</si>
  <si>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</si>
  <si>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</si>
  <si>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</si>
  <si>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</si>
  <si>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</si>
  <si>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</si>
  <si>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</si>
  <si>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</si>
  <si>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</si>
  <si>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</si>
  <si>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</si>
  <si>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</si>
  <si>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</si>
  <si>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</si>
  <si>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</si>
  <si>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</si>
  <si>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</si>
  <si>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</si>
  <si>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</si>
  <si>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</si>
  <si>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</si>
  <si>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</si>
  <si>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</si>
  <si>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</si>
  <si>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</si>
  <si>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</si>
  <si>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</si>
  <si>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</si>
  <si>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</si>
  <si>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</si>
  <si>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</si>
  <si>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</si>
  <si>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</si>
  <si>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</si>
  <si>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</si>
  <si>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</si>
  <si>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</si>
  <si>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</si>
  <si>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</si>
  <si>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</si>
  <si>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</si>
  <si>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</si>
  <si>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</si>
  <si>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</si>
  <si>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</si>
  <si>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</si>
  <si>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</si>
  <si>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</si>
  <si>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</si>
  <si>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</si>
  <si>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</si>
  <si>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</si>
  <si>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</si>
  <si>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</si>
  <si>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</si>
  <si>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</si>
  <si>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</si>
  <si>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</si>
  <si>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</si>
  <si>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</si>
  <si>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</si>
  <si>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</si>
  <si>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</si>
  <si>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</si>
  <si>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</si>
  <si>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</si>
  <si>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</si>
  <si>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</si>
  <si>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</si>
  <si>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</si>
  <si>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</si>
  <si>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</si>
  <si>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</si>
  <si>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</si>
  <si>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</si>
  <si>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</si>
  <si>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</si>
  <si>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</si>
  <si>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</si>
  <si>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</si>
  <si>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</si>
  <si>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</si>
  <si>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</si>
  <si>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</si>
  <si>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</si>
  <si>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</si>
  <si>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</si>
  <si>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</si>
  <si>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</si>
  <si>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</si>
  <si>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</si>
  <si>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</si>
  <si>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</si>
  <si>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</si>
  <si>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</si>
  <si>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</si>
  <si>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</si>
  <si>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</si>
  <si>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</si>
  <si>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</si>
  <si>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</si>
  <si>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</si>
  <si>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</si>
  <si>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</si>
  <si>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</si>
  <si>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</si>
  <si>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</si>
  <si>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</si>
  <si>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</si>
  <si>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</si>
  <si>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</si>
  <si>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</si>
  <si>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</si>
  <si>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</si>
  <si>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</si>
  <si>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</si>
  <si>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</si>
  <si>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</si>
  <si>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</si>
  <si>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</si>
  <si>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</si>
  <si>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</si>
  <si>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</si>
  <si>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</si>
  <si>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</si>
  <si>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</si>
  <si>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</si>
  <si>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</si>
  <si>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</si>
  <si>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</si>
  <si>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</si>
  <si>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</si>
  <si>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</si>
  <si>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</si>
  <si>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</si>
  <si>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</si>
  <si>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</si>
  <si>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</si>
  <si>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</si>
  <si>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</si>
  <si>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</si>
  <si>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</si>
  <si>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</si>
  <si>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</si>
  <si>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</si>
  <si>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</si>
  <si>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</si>
  <si>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</si>
  <si>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</si>
  <si>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</si>
  <si>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</si>
  <si>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</si>
  <si>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</si>
  <si>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</si>
  <si>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</si>
  <si>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</si>
  <si>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</si>
  <si>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</si>
  <si>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</si>
  <si>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</si>
  <si>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</si>
  <si>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</si>
  <si>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</si>
  <si>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</si>
  <si>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</si>
  <si>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</si>
  <si>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</si>
  <si>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</si>
  <si>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</si>
  <si>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</si>
  <si>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</si>
  <si>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</si>
  <si>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</si>
  <si>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</si>
  <si>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</si>
  <si>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</si>
  <si>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</si>
  <si>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</si>
  <si>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</si>
  <si>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</si>
  <si>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</si>
  <si>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</si>
  <si>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</si>
  <si>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</si>
  <si>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</si>
  <si>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</si>
  <si>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</si>
  <si>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</si>
  <si>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</si>
  <si>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</si>
  <si>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</si>
  <si>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</si>
  <si>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</si>
  <si>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</si>
  <si>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</si>
  <si>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</si>
  <si>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</si>
  <si>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</si>
  <si>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</si>
  <si>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</si>
  <si>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</si>
  <si>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</si>
  <si>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</si>
  <si>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</si>
  <si>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</si>
  <si>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</si>
  <si>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</si>
  <si>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</si>
  <si>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</si>
  <si>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</si>
  <si>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</si>
  <si>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</si>
  <si>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</si>
  <si>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</si>
  <si>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</si>
  <si>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</si>
  <si>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</si>
  <si>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</si>
  <si>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</si>
  <si>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</si>
  <si>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</si>
  <si>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</si>
  <si>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</si>
  <si>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</si>
  <si>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</si>
  <si>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</si>
  <si>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</si>
  <si>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</si>
  <si>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</si>
  <si>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</si>
  <si>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</si>
  <si>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</si>
  <si>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</si>
  <si>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</si>
  <si>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</si>
  <si>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</si>
  <si>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</si>
  <si>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</si>
  <si>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</si>
  <si>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</si>
  <si>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</si>
  <si>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</si>
  <si>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</si>
  <si>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</si>
  <si>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</si>
  <si>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</si>
  <si>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</si>
  <si>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</si>
  <si>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</si>
  <si>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</si>
  <si>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</si>
  <si>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</si>
  <si>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</si>
  <si>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</si>
  <si>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</si>
  <si>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</si>
  <si>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</si>
  <si>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</si>
  <si>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</si>
  <si>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</si>
  <si>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</si>
  <si>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</si>
  <si>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</si>
  <si>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</si>
  <si>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</si>
  <si>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</si>
  <si>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</si>
  <si>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</si>
  <si>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</si>
  <si>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</si>
  <si>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</si>
  <si>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</si>
  <si>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</si>
  <si>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</si>
  <si>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</si>
  <si>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</si>
  <si>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</si>
  <si>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</si>
  <si>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</si>
  <si>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</si>
  <si>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</si>
  <si>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</si>
  <si>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</si>
  <si>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</si>
  <si>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</si>
  <si>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</si>
  <si>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</si>
  <si>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</si>
  <si>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</si>
  <si>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</si>
  <si>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</si>
  <si>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</si>
  <si>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</si>
  <si>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</si>
  <si>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</si>
  <si>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</si>
  <si>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</si>
  <si>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</si>
  <si>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</si>
  <si>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</si>
  <si>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</si>
  <si>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</si>
  <si>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</si>
  <si>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</si>
  <si>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</si>
  <si>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</si>
  <si>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</si>
  <si>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</si>
  <si>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</si>
  <si>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</si>
  <si>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</si>
  <si>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</si>
  <si>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</si>
  <si>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</si>
  <si>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</si>
  <si>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</si>
  <si>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</si>
  <si>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</si>
  <si>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</si>
  <si>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</si>
  <si>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</si>
  <si>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</si>
  <si>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</si>
  <si>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</si>
  <si>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</si>
  <si>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</si>
  <si>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</si>
  <si>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</si>
  <si>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</si>
  <si>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</si>
  <si>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</si>
  <si>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</si>
  <si>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</si>
  <si>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</si>
  <si>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</si>
  <si>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</si>
  <si>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</si>
  <si>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</si>
  <si>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</si>
  <si>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</si>
  <si>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</si>
  <si>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</si>
  <si>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</si>
  <si>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</si>
  <si>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</si>
  <si>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</si>
  <si>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</si>
  <si>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</si>
  <si>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</si>
  <si>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</si>
  <si>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</si>
  <si>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</si>
  <si>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</si>
  <si>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</si>
  <si>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</si>
  <si>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</si>
  <si>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</si>
  <si>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</si>
  <si>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</si>
  <si>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</si>
  <si>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</si>
  <si>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</si>
  <si>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</si>
  <si>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</si>
  <si>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</si>
  <si>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</si>
  <si>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</si>
  <si>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</si>
  <si>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</si>
  <si>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</si>
  <si>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</si>
  <si>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</si>
  <si>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</si>
  <si>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</si>
  <si>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</si>
  <si>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</si>
  <si>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</si>
  <si>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</si>
  <si>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</si>
  <si>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</si>
  <si>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</si>
  <si>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</si>
  <si>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</si>
  <si>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</si>
  <si>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</si>
  <si>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</si>
  <si>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</si>
  <si>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</si>
  <si>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</si>
  <si>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</si>
  <si>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</si>
  <si>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</si>
  <si>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</si>
  <si>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</si>
  <si>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</si>
  <si>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</si>
  <si>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</si>
  <si>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</si>
  <si>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</si>
  <si>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</si>
  <si>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</si>
  <si>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</si>
  <si>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</si>
  <si>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</si>
  <si>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</si>
  <si>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</si>
  <si>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</si>
  <si>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</si>
  <si>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</si>
  <si>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</si>
  <si>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</si>
  <si>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</si>
  <si>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</si>
  <si>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</si>
  <si>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</si>
  <si>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</si>
  <si>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</si>
  <si>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</si>
  <si>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</si>
  <si>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</si>
  <si>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</si>
  <si>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</si>
  <si>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</si>
  <si>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</si>
  <si>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</si>
  <si>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</si>
  <si>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</si>
  <si>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</si>
  <si>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</si>
  <si>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</si>
  <si>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</si>
  <si>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</si>
  <si>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</si>
  <si>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</si>
  <si>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</si>
  <si>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</si>
  <si>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</si>
  <si>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</si>
  <si>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</si>
  <si>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</si>
  <si>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</si>
  <si>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</si>
  <si>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</si>
  <si>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</si>
  <si>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</si>
  <si>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</si>
  <si>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</si>
  <si>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</si>
  <si>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</si>
  <si>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</si>
  <si>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</si>
  <si>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</si>
  <si>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</si>
  <si>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</si>
  <si>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</si>
  <si>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</si>
  <si>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</si>
  <si>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</si>
  <si>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</si>
  <si>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</si>
  <si>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</si>
  <si>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</si>
  <si>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</si>
  <si>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</si>
  <si>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</si>
  <si>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</si>
  <si>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</si>
  <si>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</si>
  <si>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</si>
  <si>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</si>
  <si>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</si>
  <si>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</si>
  <si>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</si>
  <si>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</si>
  <si>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</si>
  <si>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</si>
  <si>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</si>
  <si>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</si>
  <si>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</si>
  <si>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</si>
  <si>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</si>
  <si>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</si>
  <si>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</si>
  <si>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</si>
  <si>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</si>
  <si>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</si>
  <si>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</si>
  <si>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</si>
  <si>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</si>
  <si>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</si>
  <si>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</si>
  <si>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</si>
  <si>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</si>
  <si>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</si>
  <si>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</si>
  <si>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</si>
  <si>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</si>
  <si>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</si>
  <si>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</si>
  <si>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</si>
  <si>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</si>
  <si>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</si>
  <si>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</si>
  <si>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</si>
  <si>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</si>
  <si>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</si>
  <si>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</si>
  <si>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</si>
  <si>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</si>
  <si>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</si>
  <si>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</si>
  <si>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</si>
  <si>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</si>
  <si>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</si>
  <si>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</si>
  <si>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</si>
  <si>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</si>
  <si>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</si>
  <si>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</si>
  <si>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</si>
  <si>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</si>
  <si>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</si>
  <si>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</si>
  <si>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</si>
  <si>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</si>
  <si>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</si>
  <si>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</si>
  <si>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</si>
  <si>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</si>
  <si>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</si>
  <si>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</si>
  <si>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</si>
  <si>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</si>
  <si>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</si>
  <si>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</si>
  <si>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</si>
  <si>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</si>
  <si>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</si>
  <si>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</si>
  <si>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</si>
  <si>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</si>
  <si>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</si>
  <si>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</si>
  <si>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</si>
  <si>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</si>
  <si>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</si>
  <si>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</si>
  <si>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</si>
  <si>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</si>
  <si>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</si>
  <si>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</si>
  <si>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</si>
  <si>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</si>
  <si>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</si>
  <si>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</si>
  <si>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</si>
  <si>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</si>
  <si>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</si>
  <si>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</si>
  <si>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</si>
  <si>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</si>
  <si>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</si>
  <si>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</si>
  <si>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</si>
  <si>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</si>
  <si>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</si>
  <si>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</si>
  <si>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</si>
  <si>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</si>
  <si>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</si>
  <si>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</si>
  <si>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</si>
  <si>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</si>
  <si>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</si>
  <si>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</si>
  <si>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</si>
  <si>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</si>
  <si>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</si>
  <si>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</si>
  <si>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</si>
  <si>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</si>
  <si>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</si>
  <si>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</si>
  <si>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</si>
  <si>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</si>
  <si>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</si>
  <si>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</si>
  <si>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</si>
  <si>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</si>
  <si>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</si>
  <si>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</si>
  <si>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</si>
  <si>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</si>
  <si>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</si>
  <si>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</si>
  <si>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</si>
  <si>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</si>
  <si>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</si>
  <si>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</si>
  <si>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</si>
  <si>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</si>
  <si>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</si>
  <si>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</si>
  <si>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</si>
  <si>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</si>
  <si>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</si>
  <si>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</si>
  <si>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</si>
  <si>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</si>
  <si>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</si>
  <si>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</si>
  <si>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</si>
  <si>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</si>
  <si>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</si>
  <si>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</si>
  <si>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</si>
  <si>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</si>
  <si>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</si>
  <si>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</si>
  <si>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</si>
  <si>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</si>
  <si>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</si>
  <si>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</si>
  <si>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</si>
  <si>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</si>
  <si>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</si>
  <si>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</si>
  <si>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</si>
  <si>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</si>
  <si>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</si>
  <si>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</si>
  <si>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</si>
  <si>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</si>
  <si>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</si>
  <si>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</si>
  <si>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</si>
  <si>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</si>
  <si>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</si>
  <si>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</si>
  <si>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</si>
  <si>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</si>
  <si>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</si>
  <si>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</si>
  <si>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</si>
  <si>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</si>
  <si>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</si>
  <si>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</si>
  <si>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</si>
  <si>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</si>
  <si>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</si>
  <si>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</si>
  <si>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</si>
  <si>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</si>
  <si>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</si>
  <si>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</si>
  <si>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</si>
  <si>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</si>
  <si>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</si>
  <si>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</si>
  <si>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</si>
  <si>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</si>
  <si>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</si>
  <si>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</si>
  <si>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</si>
  <si>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</si>
  <si>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</si>
  <si>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</si>
  <si>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</si>
  <si>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</si>
  <si>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</si>
  <si>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</si>
  <si>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</si>
  <si>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</si>
  <si>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</si>
  <si>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</si>
  <si>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</si>
  <si>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</si>
  <si>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</si>
  <si>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</si>
  <si>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</si>
  <si>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</si>
  <si>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</si>
  <si>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</si>
  <si>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</si>
  <si>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</si>
  <si>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</si>
  <si>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</si>
  <si>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</si>
  <si>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</si>
  <si>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</si>
  <si>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</si>
  <si>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</si>
  <si>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</si>
  <si>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</si>
  <si>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</si>
  <si>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</si>
  <si>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</si>
  <si>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</si>
  <si>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</si>
  <si>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</si>
  <si>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</si>
  <si>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</si>
  <si>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</si>
  <si>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</si>
  <si>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</si>
  <si>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</si>
  <si>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</si>
  <si>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</si>
  <si>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</si>
  <si>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</si>
  <si>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</si>
  <si>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</si>
  <si>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</si>
  <si>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</si>
  <si>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</si>
  <si>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</si>
  <si>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</si>
  <si>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</si>
  <si>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</si>
  <si>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</si>
  <si>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</si>
  <si>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</si>
  <si>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</si>
  <si>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</si>
  <si>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</si>
  <si>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</si>
  <si>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</si>
  <si>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</si>
  <si>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</si>
  <si>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</si>
  <si>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</si>
  <si>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</si>
  <si>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</si>
  <si>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</si>
  <si>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</si>
  <si>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</si>
  <si>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</si>
  <si>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</si>
  <si>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</si>
  <si>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</si>
  <si>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</si>
  <si>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</si>
  <si>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</si>
  <si>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</si>
  <si>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</si>
  <si>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</si>
  <si>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</si>
  <si>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</si>
  <si>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</si>
  <si>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</si>
  <si>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</si>
  <si>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</si>
  <si>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</si>
  <si>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</si>
  <si>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</si>
  <si>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</si>
  <si>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</si>
  <si>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</si>
  <si>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</si>
  <si>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</si>
  <si>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</si>
  <si>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</si>
  <si>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</si>
  <si>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</si>
  <si>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</si>
  <si>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</si>
  <si>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</si>
  <si>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</si>
  <si>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</si>
  <si>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</si>
  <si>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</si>
  <si>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</si>
  <si>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</si>
  <si>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</si>
  <si>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</si>
  <si>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</si>
  <si>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</si>
  <si>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</si>
  <si>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</si>
  <si>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</si>
  <si>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</si>
  <si>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</si>
  <si>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</si>
  <si>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</si>
  <si>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</si>
  <si>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</si>
  <si>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</si>
  <si>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</si>
  <si>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</si>
  <si>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</si>
  <si>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</si>
  <si>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</si>
  <si>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</si>
  <si>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</si>
  <si>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</si>
  <si>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</si>
  <si>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</si>
  <si>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</si>
  <si>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</si>
  <si>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</si>
  <si>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</si>
  <si>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</si>
  <si>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</si>
  <si>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</si>
  <si>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</si>
  <si>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</si>
  <si>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</si>
  <si>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</si>
  <si>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</si>
  <si>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</si>
  <si>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</si>
  <si>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</si>
  <si>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</si>
  <si>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</si>
  <si>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</si>
  <si>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</si>
  <si>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</si>
  <si>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</si>
  <si>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</si>
  <si>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</si>
  <si>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</si>
  <si>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</si>
  <si>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</si>
  <si>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</si>
  <si>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</si>
  <si>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</si>
  <si>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</si>
  <si>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</si>
  <si>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</si>
  <si>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</si>
  <si>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</si>
  <si>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</si>
  <si>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</si>
  <si>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</si>
  <si>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</si>
  <si>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</si>
  <si>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</si>
  <si>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</si>
  <si>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</si>
  <si>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</si>
  <si>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</si>
  <si>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</si>
  <si>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</si>
  <si>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</si>
  <si>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</si>
  <si>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</si>
  <si>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</si>
  <si>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</si>
  <si>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</si>
  <si>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</si>
  <si>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</si>
  <si>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</si>
  <si>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</si>
  <si>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</si>
  <si>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</si>
  <si>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</si>
  <si>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</si>
  <si>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</si>
  <si>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</si>
  <si>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</si>
  <si>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</si>
  <si>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</si>
  <si>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</si>
  <si>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</si>
  <si>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</si>
  <si>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</si>
  <si>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</si>
  <si>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</si>
  <si>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</si>
  <si>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</si>
  <si>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</si>
  <si>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</si>
  <si>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</si>
  <si>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</si>
  <si>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</si>
  <si>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</si>
  <si>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</si>
  <si>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</si>
  <si>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</si>
  <si>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</si>
  <si>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</si>
  <si>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</si>
  <si>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</si>
  <si>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</si>
  <si>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</si>
  <si>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</si>
  <si>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</si>
  <si>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</si>
  <si>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</si>
  <si>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</si>
  <si>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</si>
  <si>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</si>
  <si>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</si>
  <si>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</si>
  <si>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</si>
  <si>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</si>
  <si>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</si>
  <si>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</si>
  <si>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</si>
  <si>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</si>
  <si>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</si>
  <si>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</si>
  <si>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</si>
  <si>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</si>
  <si>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</si>
  <si>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</si>
  <si>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</si>
  <si>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</si>
  <si>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</si>
  <si>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</si>
  <si>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</si>
  <si>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</si>
  <si>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</si>
  <si>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</si>
  <si>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</si>
  <si>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</si>
  <si>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</si>
  <si>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</si>
  <si>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</si>
  <si>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</si>
  <si>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</si>
  <si>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</si>
  <si>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</si>
  <si>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</si>
  <si>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</si>
  <si>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</si>
  <si>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</si>
  <si>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</si>
  <si>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</si>
  <si>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</si>
  <si>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</si>
  <si>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</si>
  <si>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</si>
  <si>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</si>
  <si>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</si>
  <si>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</si>
  <si>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</si>
  <si>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</si>
  <si>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</si>
  <si>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</si>
  <si>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</si>
  <si>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</si>
  <si>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</si>
  <si>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</si>
  <si>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</si>
  <si>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</si>
  <si>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</si>
  <si>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</si>
  <si>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</si>
  <si>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</si>
  <si>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</si>
  <si>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</si>
  <si>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</si>
  <si>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</si>
  <si>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</si>
  <si>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</si>
  <si>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</si>
  <si>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</si>
  <si>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</si>
  <si>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</si>
  <si>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</si>
  <si>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</si>
  <si>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</si>
  <si>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</si>
  <si>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</si>
  <si>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</si>
  <si>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</si>
  <si>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</si>
  <si>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</si>
  <si>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</si>
  <si>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</si>
  <si>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</si>
  <si>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</si>
  <si>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</si>
  <si>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</si>
  <si>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</si>
  <si>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</si>
  <si>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</si>
  <si>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</si>
  <si>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</si>
  <si>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</si>
  <si>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</si>
  <si>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</si>
  <si>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</si>
  <si>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</si>
  <si>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</si>
  <si>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</si>
  <si>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</si>
  <si>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</si>
  <si>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</si>
  <si>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</si>
  <si>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</si>
  <si>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</si>
  <si>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</si>
  <si>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</si>
  <si>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</si>
  <si>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</si>
  <si>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</si>
  <si>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</si>
  <si>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</si>
  <si>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</si>
  <si>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</si>
  <si>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</si>
  <si>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</si>
  <si>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</si>
  <si>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</si>
  <si>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</si>
  <si>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</si>
  <si>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</si>
  <si>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</si>
  <si>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</si>
  <si>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</si>
  <si>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</si>
  <si>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</si>
  <si>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</si>
  <si>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</si>
  <si>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</si>
  <si>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</si>
  <si>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</si>
  <si>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</si>
  <si>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</si>
  <si>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</si>
  <si>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</si>
  <si>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</si>
  <si>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</si>
  <si>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</si>
  <si>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</si>
  <si>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</si>
  <si>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</si>
  <si>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</si>
  <si>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</si>
  <si>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</si>
  <si>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</si>
  <si>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</si>
  <si>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</si>
  <si>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</si>
  <si>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</si>
  <si>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</si>
  <si>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</si>
  <si>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</si>
  <si>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</si>
  <si>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</si>
  <si>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</si>
  <si>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</si>
  <si>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</si>
  <si>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</si>
  <si>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</si>
  <si>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</si>
  <si>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</si>
  <si>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</si>
  <si>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</si>
  <si>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</si>
  <si>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</si>
  <si>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</si>
  <si>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</si>
  <si>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</si>
  <si>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</si>
  <si>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</si>
  <si>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</si>
  <si>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</si>
  <si>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</si>
  <si>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</si>
  <si>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</si>
  <si>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</si>
  <si>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</si>
  <si>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</si>
  <si>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</si>
  <si>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</si>
  <si>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</si>
  <si>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</si>
  <si>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</si>
  <si>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</si>
  <si>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</si>
  <si>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</si>
  <si>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</si>
  <si>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</si>
  <si>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</si>
  <si>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</si>
  <si>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</si>
  <si>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</si>
  <si>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</si>
  <si>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</si>
  <si>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</si>
  <si>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</si>
  <si>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</si>
  <si>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</si>
  <si>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</si>
  <si>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</si>
  <si>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</si>
  <si>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</si>
  <si>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</si>
  <si>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</si>
  <si>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</si>
  <si>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</si>
  <si>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</si>
  <si>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</si>
  <si>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</si>
  <si>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</si>
  <si>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</si>
  <si>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</si>
  <si>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</si>
  <si>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</si>
  <si>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</si>
  <si>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</si>
  <si>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</si>
  <si>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</si>
  <si>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</si>
  <si>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</si>
  <si>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</si>
  <si>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</si>
  <si>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</si>
  <si>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</si>
  <si>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</si>
  <si>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</si>
  <si>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</si>
  <si>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</si>
  <si>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</si>
  <si>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</si>
  <si>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</si>
  <si>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</si>
  <si>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</si>
  <si>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</si>
  <si>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</si>
  <si>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</si>
  <si>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</si>
  <si>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</si>
  <si>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</si>
  <si>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</si>
  <si>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</si>
  <si>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</si>
  <si>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</si>
  <si>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</si>
  <si>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</si>
  <si>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</si>
  <si>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</si>
  <si>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</si>
  <si>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</si>
  <si>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</si>
  <si>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</si>
  <si>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</si>
  <si>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</si>
  <si>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</si>
  <si>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</si>
  <si>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</si>
  <si>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</si>
  <si>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</si>
  <si>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</si>
  <si>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</si>
  <si>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</si>
  <si>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</si>
  <si>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</si>
  <si>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</si>
  <si>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</si>
  <si>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</si>
  <si>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</si>
  <si>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</si>
  <si>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</si>
  <si>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</si>
  <si>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</si>
  <si>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</si>
  <si>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</si>
  <si>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</si>
  <si>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</si>
  <si>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</si>
  <si>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</si>
  <si>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</si>
  <si>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</si>
  <si>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</si>
  <si>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</si>
  <si>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</si>
  <si>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</si>
  <si>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</si>
  <si>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</si>
  <si>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</si>
  <si>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</si>
  <si>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</si>
  <si>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</si>
  <si>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</si>
  <si>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</si>
  <si>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</si>
  <si>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</si>
  <si>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</si>
  <si>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</si>
  <si>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</si>
  <si>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</si>
  <si>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</si>
  <si>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</si>
  <si>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</si>
  <si>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</si>
  <si>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</si>
  <si>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</si>
  <si>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</si>
  <si>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</si>
  <si>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</si>
  <si>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</si>
  <si>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</si>
  <si>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</si>
  <si>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</si>
  <si>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</si>
  <si>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</si>
  <si>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</si>
  <si>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</si>
  <si>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</si>
  <si>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</si>
  <si>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</si>
  <si>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</si>
  <si>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</si>
  <si>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</si>
  <si>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</si>
  <si>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</si>
  <si>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</si>
  <si>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</si>
  <si>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</si>
  <si>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</si>
  <si>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</si>
  <si>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</si>
  <si>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</si>
  <si>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</si>
  <si>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</si>
  <si>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</si>
  <si>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</si>
  <si>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</si>
  <si>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</si>
  <si>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</si>
  <si>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</si>
  <si>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</si>
  <si>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</si>
  <si>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</si>
  <si>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</si>
  <si>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</si>
  <si>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</si>
  <si>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</si>
  <si>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</si>
  <si>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</si>
  <si>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</si>
  <si>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</si>
  <si>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</si>
  <si>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</si>
  <si>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</si>
  <si>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</si>
  <si>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</si>
  <si>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</si>
  <si>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</si>
  <si>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</si>
  <si>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</si>
  <si>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</si>
  <si>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</si>
  <si>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</si>
  <si>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</si>
  <si>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</si>
  <si>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</si>
  <si>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</si>
  <si>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</si>
  <si>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</si>
  <si>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</si>
  <si>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</si>
  <si>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</si>
  <si>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</si>
  <si>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</si>
  <si>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</si>
  <si>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</si>
  <si>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</si>
  <si>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</si>
  <si>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</si>
  <si>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</si>
  <si>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</si>
  <si>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</si>
  <si>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</si>
  <si>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</si>
  <si>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</si>
  <si>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</si>
  <si>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</si>
  <si>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</si>
  <si>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</si>
  <si>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</si>
  <si>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</si>
  <si>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</si>
  <si>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</si>
  <si>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</si>
  <si>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</si>
  <si>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</si>
  <si>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</si>
  <si>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</si>
  <si>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</si>
  <si>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</si>
  <si>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</si>
  <si>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</si>
  <si>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</si>
  <si>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</si>
  <si>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</si>
  <si>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</si>
  <si>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</si>
  <si>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</si>
  <si>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</si>
  <si>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</si>
  <si>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</si>
  <si>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</si>
  <si>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</si>
  <si>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</si>
  <si>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</si>
  <si>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</si>
  <si>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</si>
  <si>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</si>
  <si>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</si>
  <si>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</si>
  <si>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</si>
  <si>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</si>
  <si>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</si>
  <si>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</si>
  <si>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</si>
  <si>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</si>
  <si>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</si>
  <si>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</si>
  <si>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</si>
  <si>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</si>
  <si>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</si>
  <si>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</si>
  <si>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</si>
  <si>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</si>
  <si>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</si>
  <si>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</si>
  <si>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</si>
  <si>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</si>
  <si>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</si>
  <si>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</si>
  <si>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</si>
  <si>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</si>
  <si>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</si>
  <si>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</si>
  <si>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</si>
  <si>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</si>
  <si>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</si>
  <si>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</si>
  <si>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</si>
  <si>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</si>
  <si>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</si>
  <si>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</si>
  <si>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</si>
  <si>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</si>
  <si>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</si>
  <si>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</si>
  <si>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</si>
  <si>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</si>
  <si>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</si>
  <si>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</si>
  <si>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</si>
  <si>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</si>
  <si>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</si>
  <si>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</si>
  <si>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</si>
  <si>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</si>
  <si>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</si>
  <si>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</si>
  <si>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</si>
  <si>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</si>
  <si>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</si>
  <si>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</si>
  <si>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</si>
  <si>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</si>
  <si>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</si>
  <si>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</si>
  <si>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</si>
  <si>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</si>
  <si>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</si>
  <si>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</si>
  <si>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</si>
  <si>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</si>
  <si>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</si>
  <si>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</si>
  <si>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</si>
  <si>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</si>
  <si>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</si>
  <si>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</si>
  <si>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</si>
  <si>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</si>
  <si>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</si>
  <si>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</si>
  <si>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</si>
  <si>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</si>
  <si>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</si>
  <si>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</si>
  <si>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</si>
  <si>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</si>
  <si>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</si>
  <si>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</si>
  <si>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</si>
  <si>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</si>
  <si>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</si>
  <si>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</si>
  <si>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</si>
  <si>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</si>
  <si>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</si>
  <si>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</si>
  <si>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</si>
  <si>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</si>
  <si>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</si>
  <si>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</si>
  <si>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</si>
  <si>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</si>
  <si>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</si>
  <si>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</si>
  <si>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</si>
  <si>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</si>
  <si>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</si>
  <si>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</si>
  <si>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</si>
  <si>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</si>
  <si>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</si>
  <si>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</si>
  <si>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</si>
  <si>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</si>
  <si>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</si>
  <si>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</si>
  <si>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</si>
  <si>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</si>
  <si>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</si>
  <si>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</si>
  <si>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</si>
  <si>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</si>
  <si>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</si>
  <si>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</si>
  <si>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</si>
  <si>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</si>
  <si>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</si>
  <si>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</si>
  <si>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</si>
  <si>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</si>
  <si>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</si>
  <si>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</si>
  <si>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</si>
  <si>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</si>
  <si>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</si>
  <si>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</si>
  <si>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</si>
  <si>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</si>
  <si>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</si>
  <si>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</si>
  <si>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</si>
  <si>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</si>
  <si>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</si>
  <si>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</si>
  <si>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</si>
  <si>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</si>
  <si>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</si>
  <si>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</si>
  <si>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</si>
  <si>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</si>
  <si>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</si>
  <si>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</si>
  <si>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</si>
  <si>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</si>
  <si>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</si>
  <si>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</si>
  <si>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</si>
  <si>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</si>
  <si>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</si>
  <si>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</si>
  <si>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</si>
  <si>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</si>
  <si>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</si>
  <si>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</si>
  <si>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</si>
  <si>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</si>
  <si>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</si>
  <si>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</si>
  <si>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</si>
  <si>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</si>
  <si>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</si>
  <si>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</si>
  <si>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</si>
  <si>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</si>
  <si>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</si>
  <si>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</si>
  <si>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</si>
  <si>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</si>
  <si>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</si>
  <si>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</si>
  <si>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</si>
  <si>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</si>
  <si>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</si>
  <si>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</si>
  <si>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</si>
  <si>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</si>
  <si>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</si>
  <si>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</si>
  <si>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</si>
  <si>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</si>
  <si>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</si>
  <si>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</si>
  <si>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</si>
  <si>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</si>
  <si>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</si>
  <si>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</si>
  <si>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</si>
  <si>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</si>
  <si>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</si>
  <si>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</si>
  <si>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</si>
  <si>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</si>
  <si>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</si>
  <si>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</si>
  <si>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</si>
  <si>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</si>
  <si>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</si>
  <si>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</si>
  <si>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</si>
  <si>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</si>
  <si>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</si>
  <si>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</si>
  <si>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</si>
  <si>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</si>
  <si>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</si>
  <si>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</si>
  <si>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</si>
  <si>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</si>
  <si>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</si>
  <si>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</si>
  <si>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</si>
  <si>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</si>
  <si>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</si>
  <si>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</si>
  <si>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</si>
  <si>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</si>
  <si>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</si>
  <si>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</si>
  <si>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</si>
  <si>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</si>
  <si>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</si>
  <si>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</si>
  <si>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</si>
  <si>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</si>
  <si>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</si>
  <si>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</si>
  <si>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</si>
  <si>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</si>
  <si>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</si>
  <si>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</si>
  <si>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</si>
  <si>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</si>
  <si>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</si>
  <si>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</si>
  <si>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</si>
  <si>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</si>
  <si>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</si>
  <si>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</si>
  <si>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</si>
  <si>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</si>
  <si>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</si>
  <si>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</si>
  <si>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</si>
  <si>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</si>
  <si>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</si>
  <si>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</si>
  <si>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</si>
  <si>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</si>
  <si>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</si>
  <si>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</si>
  <si>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</si>
  <si>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</si>
  <si>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</si>
  <si>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</si>
  <si>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</si>
  <si>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</si>
  <si>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</si>
  <si>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</si>
  <si>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</si>
  <si>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</si>
  <si>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</si>
  <si>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</si>
  <si>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</si>
  <si>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</si>
  <si>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</si>
  <si>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</si>
  <si>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</si>
  <si>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</si>
  <si>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</si>
  <si>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</si>
  <si>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</si>
  <si>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</si>
  <si>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</si>
  <si>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</si>
  <si>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</si>
  <si>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</si>
  <si>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</si>
  <si>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</si>
  <si>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</si>
  <si>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</si>
  <si>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</si>
  <si>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</si>
  <si>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</si>
  <si>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</si>
  <si>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</si>
  <si>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</si>
  <si>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</si>
  <si>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</si>
  <si>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</si>
  <si>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</si>
  <si>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</si>
  <si>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</si>
  <si>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</si>
  <si>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</si>
  <si>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</si>
  <si>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</si>
  <si>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</si>
  <si>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</si>
  <si>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</si>
  <si>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</si>
  <si>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</si>
  <si>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</si>
  <si>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</si>
  <si>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</si>
  <si>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</si>
  <si>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</si>
  <si>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</si>
  <si>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</si>
  <si>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</si>
  <si>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</si>
  <si>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</si>
  <si>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</si>
  <si>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</si>
  <si>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</si>
  <si>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</si>
  <si>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</si>
  <si>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</si>
  <si>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</si>
  <si>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</si>
  <si>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</si>
  <si>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</si>
  <si>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</si>
  <si>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</si>
  <si>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</si>
  <si>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</si>
  <si>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</si>
  <si>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</si>
  <si>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</si>
  <si>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</si>
  <si>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</si>
  <si>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</si>
  <si>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</si>
  <si>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</si>
  <si>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</si>
  <si>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</si>
  <si>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</si>
  <si>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</si>
  <si>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</si>
  <si>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</si>
  <si>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</si>
  <si>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</si>
  <si>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</si>
  <si>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</si>
  <si>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</si>
  <si>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</si>
  <si>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</si>
  <si>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</si>
  <si>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</si>
  <si>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</si>
  <si>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</si>
  <si>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</si>
  <si>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</si>
  <si>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</si>
  <si>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</si>
  <si>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</si>
  <si>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</si>
  <si>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</si>
  <si>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</si>
  <si>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</si>
  <si>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</si>
  <si>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</si>
  <si>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</si>
  <si>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</si>
  <si>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</si>
  <si>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</si>
  <si>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</si>
  <si>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</si>
  <si>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</si>
  <si>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</si>
  <si>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</si>
  <si>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</si>
  <si>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</si>
  <si>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</si>
  <si>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</si>
  <si>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</si>
  <si>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</si>
  <si>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</si>
  <si>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</si>
  <si>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</si>
  <si>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</si>
  <si>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</si>
  <si>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</si>
  <si>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</si>
  <si>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</si>
  <si>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</si>
  <si>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</si>
  <si>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</si>
  <si>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</si>
  <si>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</si>
  <si>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</si>
  <si>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</si>
  <si>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</si>
  <si>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</si>
  <si>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</si>
  <si>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</si>
  <si>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</si>
  <si>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</si>
  <si>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</si>
  <si>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</si>
  <si>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</si>
  <si>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</si>
  <si>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</si>
  <si>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</si>
  <si>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</si>
  <si>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</si>
  <si>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</si>
  <si>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</si>
  <si>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</si>
  <si>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</si>
  <si>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</si>
  <si>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</si>
  <si>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</si>
  <si>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</si>
  <si>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</si>
  <si>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</si>
  <si>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</si>
  <si>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</si>
  <si>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</si>
  <si>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</si>
  <si>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</si>
  <si>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</si>
  <si>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</si>
  <si>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</si>
  <si>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</si>
  <si>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</si>
  <si>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</si>
  <si>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</si>
  <si>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</si>
  <si>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</si>
  <si>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</si>
  <si>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</si>
  <si>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</si>
  <si>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</si>
  <si>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</si>
  <si>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</si>
  <si>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</si>
  <si>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</si>
  <si>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</si>
  <si>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</si>
  <si>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</si>
  <si>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</si>
  <si>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</si>
  <si>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</si>
  <si>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</si>
  <si>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</si>
  <si>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</si>
  <si>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</si>
  <si>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</si>
  <si>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</si>
  <si>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</si>
  <si>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</si>
  <si>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</si>
  <si>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</si>
  <si>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</si>
  <si>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</si>
  <si>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</si>
  <si>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</si>
  <si>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</si>
  <si>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</si>
  <si>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</si>
  <si>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</si>
  <si>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</si>
  <si>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</si>
  <si>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</si>
  <si>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</si>
  <si>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</si>
  <si>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</si>
  <si>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</si>
  <si>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</si>
  <si>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</si>
  <si>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</si>
  <si>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</si>
  <si>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</si>
  <si>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</si>
  <si>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</si>
  <si>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</si>
  <si>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</si>
  <si>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</si>
  <si>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</si>
  <si>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</si>
  <si>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</si>
  <si>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</si>
  <si>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</si>
  <si>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</si>
  <si>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</si>
  <si>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</si>
  <si>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</si>
  <si>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</si>
  <si>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</si>
  <si>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</si>
  <si>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</si>
  <si>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</si>
  <si>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</si>
  <si>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</si>
  <si>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</si>
  <si>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</si>
  <si>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</si>
  <si>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</si>
  <si>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</si>
  <si>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</si>
  <si>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</si>
  <si>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</si>
  <si>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</si>
  <si>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</si>
  <si>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</si>
  <si>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</si>
  <si>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</si>
  <si>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</si>
  <si>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</si>
  <si>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</si>
  <si>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</si>
  <si>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</si>
  <si>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</si>
  <si>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</si>
  <si>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</si>
  <si>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</si>
  <si>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</si>
  <si>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</si>
  <si>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</si>
  <si>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</si>
  <si>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</si>
  <si>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</si>
  <si>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</si>
  <si>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</si>
  <si>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</si>
  <si>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</si>
  <si>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</si>
  <si>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</si>
  <si>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</si>
  <si>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</si>
  <si>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</si>
  <si>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</si>
  <si>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</si>
  <si>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</si>
  <si>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</si>
  <si>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</si>
  <si>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</si>
  <si>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</si>
  <si>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</si>
  <si>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</si>
  <si>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</si>
  <si>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</si>
  <si>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</si>
  <si>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</si>
  <si>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</si>
  <si>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</si>
  <si>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</si>
  <si>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</si>
  <si>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</si>
  <si>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</si>
  <si>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</si>
  <si>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</si>
  <si>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</si>
  <si>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</si>
  <si>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</si>
  <si>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</si>
  <si>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</si>
  <si>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</si>
  <si>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</si>
  <si>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</si>
  <si>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</si>
  <si>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</si>
  <si>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</si>
  <si>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</si>
  <si>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</si>
  <si>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</si>
  <si>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</si>
  <si>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</si>
  <si>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</si>
  <si>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</si>
  <si>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</si>
  <si>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</si>
  <si>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</si>
  <si>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</si>
  <si>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</si>
  <si>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</si>
  <si>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</si>
  <si>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</si>
  <si>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</si>
  <si>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</si>
  <si>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</si>
  <si>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</si>
  <si>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</si>
  <si>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</si>
  <si>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</si>
  <si>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</si>
  <si>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</si>
  <si>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</si>
  <si>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</si>
  <si>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</si>
  <si>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</si>
  <si>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</si>
  <si>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</si>
  <si>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</si>
  <si>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</si>
  <si>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</si>
  <si>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</si>
  <si>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</si>
  <si>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</si>
  <si>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</si>
  <si>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</si>
  <si>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</si>
  <si>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</si>
  <si>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</si>
  <si>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</si>
  <si>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</si>
  <si>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</si>
  <si>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</si>
  <si>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</si>
  <si>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</si>
  <si>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</si>
  <si>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</si>
  <si>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</si>
  <si>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</si>
  <si>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</si>
  <si>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</si>
  <si>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</si>
  <si>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</si>
  <si>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</si>
  <si>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</si>
  <si>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</si>
  <si>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</si>
  <si>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</si>
  <si>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</si>
  <si>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</si>
  <si>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</si>
  <si>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</si>
  <si>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</si>
  <si>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</si>
  <si>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</si>
  <si>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</si>
  <si>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</si>
  <si>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</si>
  <si>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</si>
  <si>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</si>
  <si>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</si>
  <si>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</si>
  <si>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</si>
  <si>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</si>
  <si>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</si>
  <si>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</si>
  <si>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</si>
  <si>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</si>
  <si>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</si>
  <si>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</si>
  <si>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</si>
  <si>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</si>
  <si>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</si>
  <si>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</si>
  <si>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</si>
  <si>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</si>
  <si>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</si>
  <si>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</si>
  <si>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</si>
  <si>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</si>
  <si>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</si>
  <si>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</si>
  <si>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</si>
  <si>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</si>
  <si>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</si>
  <si>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</si>
  <si>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</si>
  <si>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</si>
  <si>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</si>
  <si>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</si>
  <si>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</si>
  <si>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</si>
  <si>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</si>
  <si>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</si>
  <si>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</si>
  <si>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</si>
  <si>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</si>
  <si>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</si>
  <si>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</si>
  <si>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</si>
  <si>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</si>
  <si>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</si>
  <si>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</si>
  <si>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</si>
  <si>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</si>
  <si>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</si>
  <si>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</si>
  <si>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</si>
  <si>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</si>
  <si>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</si>
  <si>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</si>
  <si>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</si>
  <si>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</si>
  <si>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</si>
  <si>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</si>
  <si>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</si>
  <si>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</si>
  <si>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</si>
  <si>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</si>
  <si>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</si>
  <si>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</si>
  <si>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</si>
  <si>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</si>
  <si>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</si>
  <si>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</si>
  <si>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</si>
  <si>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</si>
  <si>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</si>
  <si>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</si>
  <si>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</si>
  <si>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</si>
  <si>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</si>
  <si>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</si>
  <si>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</si>
  <si>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</si>
  <si>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</si>
  <si>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</si>
  <si>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</si>
  <si>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</si>
  <si>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</si>
  <si>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</si>
  <si>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</si>
  <si>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</si>
  <si>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</si>
  <si>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</si>
  <si>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</si>
  <si>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</si>
  <si>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</si>
  <si>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</si>
  <si>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</si>
  <si>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</si>
  <si>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</si>
  <si>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</si>
  <si>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</si>
  <si>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</si>
  <si>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</si>
  <si>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</si>
  <si>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</si>
  <si>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</si>
  <si>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</si>
  <si>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</si>
  <si>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</si>
  <si>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</si>
  <si>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</si>
  <si>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</si>
  <si>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</si>
  <si>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</si>
  <si>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</si>
  <si>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</si>
  <si>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</si>
  <si>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</si>
  <si>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</si>
  <si>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</si>
  <si>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</si>
  <si>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</si>
  <si>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</si>
  <si>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</si>
  <si>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</si>
  <si>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</si>
  <si>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</si>
  <si>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</si>
  <si>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</si>
  <si>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</si>
  <si>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</si>
  <si>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</si>
  <si>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</si>
  <si>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</si>
  <si>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</si>
  <si>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</si>
  <si>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</si>
  <si>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</si>
  <si>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</si>
  <si>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</si>
  <si>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</si>
  <si>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</si>
  <si>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</si>
  <si>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</si>
  <si>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</si>
  <si>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</si>
  <si>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</si>
  <si>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</si>
  <si>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</si>
  <si>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</si>
  <si>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</si>
  <si>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</si>
  <si>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</si>
  <si>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</si>
  <si>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</si>
  <si>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</si>
  <si>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</si>
  <si>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</si>
  <si>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</si>
  <si>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</si>
  <si>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</si>
  <si>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</si>
  <si>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</si>
  <si>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</si>
  <si>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</si>
  <si>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</si>
  <si>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</si>
  <si>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</si>
  <si>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</si>
  <si>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</si>
  <si>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</si>
  <si>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</si>
  <si>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</si>
  <si>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</si>
  <si>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</si>
  <si>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</si>
  <si>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</si>
  <si>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</si>
  <si>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</si>
  <si>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</si>
  <si>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</si>
  <si>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</si>
  <si>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</si>
  <si>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</si>
  <si>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</si>
  <si>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</si>
  <si>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</si>
  <si>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</si>
  <si>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</si>
  <si>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</si>
  <si>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</si>
  <si>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</si>
  <si>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</si>
  <si>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</si>
  <si>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</si>
  <si>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</si>
  <si>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</si>
  <si>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</si>
  <si>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</si>
  <si>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</si>
  <si>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</si>
  <si>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</si>
  <si>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</si>
  <si>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</si>
  <si>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</si>
  <si>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</si>
  <si>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</si>
  <si>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</si>
  <si>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</si>
  <si>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</si>
  <si>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</si>
  <si>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</si>
  <si>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</si>
  <si>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</si>
  <si>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</si>
  <si>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</si>
  <si>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</si>
  <si>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</si>
  <si>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</si>
  <si>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</si>
  <si>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</si>
  <si>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</si>
  <si>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</si>
  <si>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</si>
  <si>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</si>
  <si>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</si>
  <si>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</si>
  <si>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</si>
  <si>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</si>
  <si>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</si>
  <si>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</si>
  <si>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</si>
  <si>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</si>
  <si>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</si>
  <si>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</si>
  <si>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</si>
  <si>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</si>
  <si>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</si>
  <si>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</si>
  <si>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</si>
  <si>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</si>
  <si>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</si>
  <si>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</si>
  <si>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</si>
  <si>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</si>
  <si>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</si>
  <si>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</si>
  <si>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</si>
  <si>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</si>
  <si>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</si>
  <si>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</si>
  <si>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</si>
  <si>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</si>
  <si>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</si>
  <si>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</si>
  <si>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</si>
  <si>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</si>
  <si>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</si>
  <si>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</si>
  <si>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</si>
  <si>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</si>
  <si>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</si>
  <si>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</si>
  <si>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</si>
  <si>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</si>
  <si>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</si>
  <si>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</si>
  <si>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</si>
  <si>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</si>
  <si>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</si>
  <si>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</si>
  <si>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</si>
  <si>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</si>
  <si>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</si>
  <si>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</si>
  <si>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</si>
  <si>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</si>
  <si>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</si>
  <si>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</si>
  <si>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</si>
  <si>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</si>
  <si>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</si>
  <si>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</si>
  <si>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</si>
  <si>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</si>
  <si>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</si>
  <si>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</si>
  <si>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</si>
  <si>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</si>
  <si>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</si>
  <si>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</si>
  <si>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</si>
  <si>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</si>
  <si>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</si>
  <si>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</si>
  <si>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</si>
  <si>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</si>
  <si>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</si>
  <si>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</si>
  <si>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</si>
  <si>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</si>
  <si>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</si>
  <si>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</si>
  <si>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</si>
  <si>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</si>
  <si>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</si>
  <si>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</si>
  <si>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</si>
  <si>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</si>
  <si>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</si>
  <si>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</si>
  <si>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</si>
  <si>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</si>
  <si>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</si>
  <si>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</si>
  <si>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</si>
  <si>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</si>
  <si>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</si>
  <si>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</si>
  <si>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</si>
  <si>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</si>
  <si>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</si>
  <si>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</si>
  <si>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</si>
  <si>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</si>
  <si>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</si>
  <si>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</si>
  <si>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</si>
  <si>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</si>
  <si>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</si>
  <si>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</si>
  <si>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</si>
  <si>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</si>
  <si>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</si>
  <si>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</si>
  <si>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</si>
  <si>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</si>
  <si>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</si>
  <si>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</si>
  <si>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</si>
  <si>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</si>
  <si>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</si>
  <si>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</si>
  <si>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</si>
  <si>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</si>
  <si>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</si>
  <si>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</si>
  <si>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</si>
  <si>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</si>
  <si>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</si>
  <si>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</si>
  <si>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</si>
  <si>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</si>
  <si>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</si>
  <si>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</si>
  <si>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</si>
  <si>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</si>
  <si>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</si>
  <si>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</si>
  <si>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</si>
  <si>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</si>
  <si>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</si>
  <si>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</si>
  <si>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</si>
  <si>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</si>
  <si>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</si>
  <si>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</si>
  <si>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</si>
  <si>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</si>
  <si>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</si>
  <si>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</si>
  <si>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</si>
  <si>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</si>
  <si>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</si>
  <si>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</si>
  <si>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</si>
  <si>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</si>
  <si>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</si>
  <si>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</si>
  <si>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</si>
  <si>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</si>
  <si>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</si>
  <si>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</si>
  <si>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</si>
  <si>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</si>
  <si>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</si>
  <si>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</si>
  <si>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</si>
  <si>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</si>
  <si>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</si>
  <si>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</si>
  <si>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</si>
  <si>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</si>
  <si>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</si>
  <si>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</si>
  <si>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</si>
  <si>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</si>
  <si>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</si>
  <si>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</si>
  <si>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</si>
  <si>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</si>
  <si>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</si>
  <si>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</si>
  <si>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</si>
  <si>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</si>
  <si>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</si>
  <si>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</si>
  <si>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</si>
  <si>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</si>
  <si>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</si>
  <si>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</si>
  <si>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</si>
  <si>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</si>
  <si>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</si>
  <si>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</si>
  <si>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</si>
  <si>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</si>
  <si>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</si>
  <si>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</si>
  <si>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</si>
  <si>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</si>
  <si>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</si>
  <si>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</si>
  <si>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</si>
  <si>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</si>
  <si>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</si>
  <si>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</si>
  <si>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</si>
  <si>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</si>
  <si>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</si>
  <si>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</si>
  <si>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</si>
  <si>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</si>
  <si>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</si>
  <si>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</si>
  <si>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</si>
  <si>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</si>
  <si>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</si>
  <si>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</si>
  <si>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</si>
  <si>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</si>
  <si>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</si>
  <si>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</si>
  <si>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</si>
  <si>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</si>
  <si>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</si>
  <si>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</si>
  <si>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</si>
  <si>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</si>
  <si>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</si>
  <si>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</si>
  <si>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</si>
  <si>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</si>
  <si>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</si>
  <si>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</si>
  <si>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</si>
  <si>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</si>
  <si>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</si>
  <si>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</si>
  <si>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</si>
  <si>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</si>
  <si>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</si>
  <si>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</si>
  <si>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</si>
  <si>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</si>
  <si>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</si>
  <si>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</si>
  <si>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</si>
  <si>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</si>
  <si>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</si>
  <si>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</si>
  <si>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</si>
  <si>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</si>
  <si>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</si>
  <si>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</si>
  <si>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</si>
  <si>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</si>
  <si>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</si>
  <si>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</si>
  <si>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</si>
  <si>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</si>
  <si>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</si>
  <si>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</si>
  <si>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</si>
  <si>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</si>
  <si>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</si>
  <si>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</si>
  <si>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</si>
  <si>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</si>
  <si>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</si>
  <si>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</si>
  <si>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</si>
  <si>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</si>
  <si>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</si>
  <si>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</si>
  <si>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</si>
  <si>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</si>
  <si>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</si>
  <si>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</si>
  <si>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</si>
  <si>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</si>
  <si>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</si>
  <si>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</si>
  <si>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</si>
  <si>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</si>
  <si>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</si>
  <si>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</si>
  <si>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</si>
  <si>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</si>
  <si>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</si>
  <si>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</si>
  <si>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</si>
  <si>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</si>
  <si>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</si>
  <si>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</si>
  <si>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</si>
  <si>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</si>
  <si>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</si>
  <si>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</si>
  <si>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</si>
  <si>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</si>
  <si>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</si>
  <si>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</si>
  <si>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</si>
  <si>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</si>
  <si>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</si>
  <si>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</si>
  <si>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</si>
  <si>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</si>
  <si>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</si>
  <si>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</si>
  <si>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</si>
  <si>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</si>
  <si>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</si>
  <si>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</si>
  <si>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</si>
  <si>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</si>
  <si>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</si>
  <si>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</si>
  <si>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</si>
  <si>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</si>
  <si>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</si>
  <si>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</si>
  <si>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</si>
  <si>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</si>
  <si>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</si>
  <si>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</si>
  <si>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</si>
  <si>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</si>
  <si>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</si>
  <si>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Basic Statistics ( Quantity, Unit Price, Total Price)</t>
  </si>
  <si>
    <t>METRICS</t>
  </si>
  <si>
    <t>QUANTITY</t>
  </si>
  <si>
    <t>UNIT PRICE</t>
  </si>
  <si>
    <t>TOTAL PRICE</t>
  </si>
  <si>
    <t>Average</t>
  </si>
  <si>
    <t>Median</t>
  </si>
  <si>
    <t>Std</t>
  </si>
  <si>
    <t>Count</t>
  </si>
  <si>
    <t>Minimum</t>
  </si>
  <si>
    <t>Maximum</t>
  </si>
  <si>
    <t>PRODUCT</t>
  </si>
  <si>
    <t>OUTLIER ORDERS (TOTAL PRICE USING IQR METHOD)</t>
  </si>
  <si>
    <t>Quartile 1(Q1)</t>
  </si>
  <si>
    <t>Quartile 3(Q3)</t>
  </si>
  <si>
    <t>Interquartile Range(IQR)</t>
  </si>
  <si>
    <t>Upper Bound</t>
  </si>
  <si>
    <t>lower Bound</t>
  </si>
  <si>
    <t>Outlier Count</t>
  </si>
  <si>
    <t>ORDER_ID</t>
  </si>
  <si>
    <t>DATE</t>
  </si>
  <si>
    <t>CUSTOMER_ID</t>
  </si>
  <si>
    <t>TOTAL_PRICE</t>
  </si>
  <si>
    <t>OUTLIER REASON</t>
  </si>
  <si>
    <t>Above upper bound(3,330.41)</t>
  </si>
  <si>
    <t>KEY OBSERVATION</t>
  </si>
  <si>
    <t>The dataset contains 1,200 orders from January 2023 to June 2025.</t>
  </si>
  <si>
    <t>Chair generated the highest revenue ($195,620.11), while Phone generated the lowest ($151,722.39).</t>
  </si>
  <si>
    <t>The Average Total Price ($1,053.97) is higher than the median ($823.62), indicating the presence of relatively high-value orders.</t>
  </si>
  <si>
    <t>UNITPRICE</t>
  </si>
  <si>
    <t>TOTALPRICE</t>
  </si>
  <si>
    <t>ITEMINCART</t>
  </si>
  <si>
    <t>Eight orders were flagged as outliers using the IQR method, all falling between $3,334 and $3,456.</t>
  </si>
  <si>
    <t>The average order value ($1,053.97) is notably higher than the median ($823.62), indicating that a small number of high-value orders are pulling the average upward.</t>
  </si>
  <si>
    <t>UnitPrice shows the strongest correlation with TotalPrice (0.72) while Quantity and UnitPrice show almost no correlation (0.01).</t>
  </si>
  <si>
    <t>Cancelled and Returned orders together account for nearly 41% of all orders, which may be worth investigating further as a potential fulfillment or customer satisfaction issue.</t>
  </si>
  <si>
    <t>Instagram is the leading referral source, bringing in the highest number of orders among all channels  suggesting it's currently the most effective customer acquisition channel.</t>
  </si>
  <si>
    <t>REVENUE &amp; ORDERS  BY PRODUCT</t>
  </si>
  <si>
    <t>ORDER COUNT</t>
  </si>
  <si>
    <t>TOTAL REVENUE</t>
  </si>
  <si>
    <t>AVERAGE ORDER VALUE</t>
  </si>
  <si>
    <t>ORDERS &amp; REVENUE BY STATUS</t>
  </si>
  <si>
    <t>ORDER STATUS</t>
  </si>
  <si>
    <t>ORDERS &amp; REVENUE BY PAYMENT METHOD</t>
  </si>
  <si>
    <t>PAYMENT METHOD</t>
  </si>
  <si>
    <t>ORDERS &amp; REVENUE BY REFERRAL SOURCE</t>
  </si>
  <si>
    <t>REFERRAL SOURCE</t>
  </si>
  <si>
    <t>AVERGE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</si>
</sst>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yyyy\-mm\-dd"/>
    <numFmt numFmtId="165" formatCode="[$$-409]#,##0.00"/>
    <numFmt numFmtId="166" formatCode="[$$-409]#,##0.00_);\([$$-409]#,##0.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1" fillId="3" borderId="0" xfId="0" applyFont="1" applyFill="1" applyAlignment="1">
      <alignment horizontal="center" vertic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6" fontId="1" fillId="0" borderId="0" xfId="1" applyNumberFormat="1" applyFont="1" applyAlignment="1">
      <alignment horizontal="right" vertical="center" wrapText="1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5" fillId="4" borderId="0" xfId="0" applyFont="1" applyFill="1"/>
    <xf numFmtId="0" fontId="6" fillId="0" borderId="0" xfId="0" applyFont="1"/>
    <xf numFmtId="0" fontId="7" fillId="0" borderId="0" xfId="0" applyFont="1"/>
    <xf numFmtId="8" fontId="0" fillId="0" borderId="0" xfId="0" applyNumberFormat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2" borderId="0" xfId="0" applyFill="1"/>
    <xf numFmtId="0" fontId="6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16">
    <dxf>
      <numFmt numFmtId="165" formatCode="[$$-409]#,##0.00"/>
    </dxf>
    <dxf>
      <numFmt numFmtId="165" formatCode="[$$-409]#,##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2D4EBE-8639-4496-9082-C63D19DD1F64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E4CD9-0D84-4348-ADFF-67733576D8F4}" name="Table1" displayName="Table1" ref="A1:N1201" totalsRowShown="0" headerRowDxfId="5" headerRowBorderDxfId="4" tableBorderDxfId="3">
  <autoFilter ref="A1:N1201" xr:uid="{2CAE4CD9-0D84-4348-ADFF-67733576D8F4}"/>
  <tableColumns count="14">
    <tableColumn id="1" xr3:uid="{AD40409B-D507-4AA1-BF30-9480D84CF337}" name="OrderID"/>
    <tableColumn id="2" xr3:uid="{5FA9A608-F28E-4CA6-9958-A57D6BE0DBC9}" name="Date" dataDxfId="2"/>
    <tableColumn id="3" xr3:uid="{675A347E-6B67-418B-8CDD-0AA24F857E32}" name="CustomerID"/>
    <tableColumn id="4" xr3:uid="{D5B9BEF8-8F71-4ACC-8C8B-F91B671DB533}" name="Product"/>
    <tableColumn id="5" xr3:uid="{8ABF3D21-E6D3-4B12-A520-F4E20AE3E181}" name="Quantity"/>
    <tableColumn id="6" xr3:uid="{A77CF708-0FD2-468B-965B-38CCCC6D7EC4}" name="UnitPrice" dataDxfId="1"/>
    <tableColumn id="7" xr3:uid="{4C26FB4E-72D8-4327-BE41-891688ED8B33}" name="ShippingAddress"/>
    <tableColumn id="8" xr3:uid="{26C0D017-C06E-4C41-8B26-5D2C076A6B01}" name="PaymentMethod"/>
    <tableColumn id="9" xr3:uid="{3F24378E-6FA1-4489-9100-A898305648F6}" name="OrderStatus"/>
    <tableColumn id="10" xr3:uid="{D9388F09-F26B-4EB2-A033-F45BB0997CED}" name="TrackingNumber"/>
    <tableColumn id="11" xr3:uid="{EB522460-8788-4F64-B06A-2BAA9A753E9B}" name="ItemsInCart"/>
    <tableColumn id="12" xr3:uid="{6255975D-68AD-4566-831D-5B3ABE66BCCD}" name="CouponCode"/>
    <tableColumn id="13" xr3:uid="{12FE9F8D-9234-4A6A-AB8D-5462BED1C8D6}" name="ReferralSource"/>
    <tableColumn id="14" xr3:uid="{F1A18380-B706-4ECE-A15D-736D420F545B}" name="TotalPrice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0E03F-D768-4E54-B68B-124620B42030}" name="Table1_1" displayName="Table1_1" ref="A1:N1201" tableType="queryTable" totalsRowShown="0">
  <autoFilter ref="A1:N1201" xr:uid="{BF60E03F-D768-4E54-B68B-124620B42030}"/>
  <tableColumns count="14">
    <tableColumn id="1" xr3:uid="{48A86A18-F3B3-47EF-9735-C3A2D158CCD2}" uniqueName="1" name="OrderID" queryTableFieldId="1" dataDxfId="15"/>
    <tableColumn id="2" xr3:uid="{E1934576-E836-4A23-BD40-6C3C38ADF37F}" uniqueName="2" name="Date" queryTableFieldId="2" dataDxfId="14"/>
    <tableColumn id="3" xr3:uid="{B1222D03-3121-4A8A-A6B8-C87F2925F6D2}" uniqueName="3" name="CustomerID" queryTableFieldId="3" dataDxfId="13"/>
    <tableColumn id="4" xr3:uid="{1AF9E36A-3215-45A3-902B-08ABC96C0617}" uniqueName="4" name="Product" queryTableFieldId="4" dataDxfId="12"/>
    <tableColumn id="5" xr3:uid="{35DE0205-09D0-4A93-9CCD-100973E2A38A}" uniqueName="5" name="Quantity" queryTableFieldId="5"/>
    <tableColumn id="6" xr3:uid="{EBBDB95D-F790-4F6D-8089-28CCACC5A28F}" uniqueName="6" name="UnitPrice" queryTableFieldId="6"/>
    <tableColumn id="7" xr3:uid="{01B9BC0D-A166-45E7-B15A-22B84C0C4107}" uniqueName="7" name="ShippingAddress" queryTableFieldId="7" dataDxfId="11"/>
    <tableColumn id="8" xr3:uid="{E021DD22-5BB7-4855-813B-55ACADDE0D6E}" uniqueName="8" name="PaymentMethod" queryTableFieldId="8" dataDxfId="10"/>
    <tableColumn id="9" xr3:uid="{3DA56D35-1A33-4E88-B5C3-8DCF40E735E0}" uniqueName="9" name="OrderStatus" queryTableFieldId="9" dataDxfId="9"/>
    <tableColumn id="10" xr3:uid="{1CA98AD2-87F4-425B-AC85-B598CB0B84BF}" uniqueName="10" name="TrackingNumber" queryTableFieldId="10" dataDxfId="8"/>
    <tableColumn id="11" xr3:uid="{724A1014-E98A-4A18-9BCE-9DA0D86FD310}" uniqueName="11" name="ItemsInCart" queryTableFieldId="11"/>
    <tableColumn id="12" xr3:uid="{17D8F905-0432-45F6-9E07-96D46159FEFA}" uniqueName="12" name="CouponCode" queryTableFieldId="12" dataDxfId="7"/>
    <tableColumn id="13" xr3:uid="{8755854B-63E7-42F4-80E1-410AC9F3A1B2}" uniqueName="13" name="ReferralSource" queryTableFieldId="13" dataDxfId="6"/>
    <tableColumn id="14" xr3:uid="{FA1DF0EE-D51B-4FC1-BF47-43DDA0C0024C}" uniqueName="14" name="TotalPrice" queryTableFieldId="1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C97D-9CAB-422B-80B8-0B77DD581CD2}">
  <dimension ref="A1:N1201"/>
  <sheetViews>
    <sheetView workbookViewId="0">
      <selection activeCell="P13" sqref="P13"/>
    </sheetView>
  </sheetViews>
  <sheetFormatPr defaultRowHeight="14.5" x14ac:dyDescent="0.35"/>
  <cols>
    <col min="1" max="1" width="10.7265625" bestFit="1" customWidth="1"/>
    <col min="2" max="2" width="10.26953125" bestFit="1" customWidth="1"/>
    <col min="3" max="3" width="10.81640625" bestFit="1" customWidth="1"/>
    <col min="6" max="6" width="8.7265625" bestFit="1" customWidth="1"/>
    <col min="7" max="7" width="15.1796875" bestFit="1" customWidth="1"/>
    <col min="8" max="8" width="15.453125" bestFit="1" customWidth="1"/>
    <col min="9" max="9" width="11" bestFit="1" customWidth="1"/>
    <col min="10" max="10" width="15.1796875" bestFit="1" customWidth="1"/>
    <col min="11" max="11" width="10.7265625" bestFit="1" customWidth="1"/>
    <col min="12" max="12" width="12" bestFit="1" customWidth="1"/>
    <col min="13" max="13" width="13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E706" workbookViewId="0">
      <selection activeCell="L711" sqref="L711"/>
    </sheetView>
  </sheetViews>
  <sheetFormatPr defaultRowHeight="14.5" x14ac:dyDescent="0.35"/>
  <cols>
    <col min="1" max="1" width="12" bestFit="1" customWidth="1"/>
    <col min="2" max="2" width="10.26953125" bestFit="1" customWidth="1"/>
    <col min="3" max="3" width="15.26953125" bestFit="1" customWidth="1"/>
    <col min="4" max="4" width="12.1796875" bestFit="1" customWidth="1"/>
    <col min="5" max="5" width="12.7265625" bestFit="1" customWidth="1"/>
    <col min="6" max="6" width="13.1796875" style="3" bestFit="1" customWidth="1"/>
    <col min="7" max="7" width="19.54296875" bestFit="1" customWidth="1"/>
    <col min="8" max="8" width="19.81640625" bestFit="1" customWidth="1"/>
    <col min="9" max="9" width="15.453125" bestFit="1" customWidth="1"/>
    <col min="10" max="10" width="19.54296875" bestFit="1" customWidth="1"/>
    <col min="11" max="11" width="15.26953125" bestFit="1" customWidth="1"/>
    <col min="12" max="12" width="16.453125" bestFit="1" customWidth="1"/>
    <col min="13" max="13" width="17.81640625" bestFit="1" customWidth="1"/>
    <col min="14" max="14" width="11.26953125" style="3" customWidth="1"/>
  </cols>
  <sheetData>
    <row r="1" spans="1:1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 s="3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3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 s="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 s="3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3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 s="3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3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 s="3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3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 s="3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3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 s="3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3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 s="3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3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 s="3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 s="3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 s="3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3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 s="3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3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 s="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 s="3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3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 s="3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3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 s="3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3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 s="3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 s="3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 s="3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3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 s="3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 s="3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 s="3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3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 s="3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3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 s="3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3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 s="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 s="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 s="3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3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 s="3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3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 s="3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3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 s="3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3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 s="3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 s="3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 s="3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3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 s="3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 s="3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 s="3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3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 s="3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3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 s="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 s="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 s="3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 s="3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 s="3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3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 s="3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3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 s="3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3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 s="3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 s="3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 s="3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3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 s="3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3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 s="3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3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 s="3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3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 s="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 s="3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 s="3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 s="3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 s="3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 s="3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3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 s="3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3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 s="3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3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 s="3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3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 s="3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 s="3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 s="3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3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 s="3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3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 s="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 s="3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3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 s="3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3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 s="3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3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 s="3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 s="3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 s="3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3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 s="3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3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 s="3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3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 s="3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 s="3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 s="3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3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 s="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 s="3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3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 s="3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3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 s="3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3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 s="3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 s="3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 s="3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3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 s="3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 s="3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 s="3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3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 s="3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 s="3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 s="3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3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 s="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 s="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 s="3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 s="3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 s="3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 s="3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 s="3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 s="3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 s="3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3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 s="3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3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 s="3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 s="3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 s="3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3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 s="3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 s="3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 s="3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 s="3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 s="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 s="3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3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 s="3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 s="3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 s="3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3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 s="3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3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 s="3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3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 s="3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3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 s="3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 s="3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 s="3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3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 s="3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3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 s="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 s="3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3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 s="3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 s="3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 s="3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3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 s="3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 s="3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 s="3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 s="3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 s="3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 s="3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 s="3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 s="3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 s="3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3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 s="3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 s="3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 s="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 s="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 s="3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3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 s="3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3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 s="3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3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 s="3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 s="3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 s="3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3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 s="3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3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 s="3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3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 s="3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3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 s="3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3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 s="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 s="3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3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 s="3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3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 s="3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3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 s="3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3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 s="3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3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 s="3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3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 s="3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3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 s="3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3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 s="3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3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 s="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 s="3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 s="3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 s="3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 s="3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 s="3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 s="3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 s="3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3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 s="3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3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 s="3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 s="3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 s="3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3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 s="3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3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 s="3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3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 s="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 s="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 s="3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3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 s="3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3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 s="3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 s="3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 s="3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3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 s="3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3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 s="3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 s="3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 s="3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3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 s="3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 s="3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 s="3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3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 s="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 s="3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3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 s="3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 s="3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 s="3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 s="3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 s="3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3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 s="3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 s="3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 s="3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3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 s="3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3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 s="3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 s="3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 s="3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3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 s="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 s="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 s="3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3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 s="3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3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 s="3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 s="3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 s="3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3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 s="3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3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 s="3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3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 s="3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3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 s="3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3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 s="3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 s="3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 s="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 s="3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3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 s="3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 s="3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 s="3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3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 s="3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3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 s="3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3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 s="3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3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 s="3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 s="3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 s="3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3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 s="3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3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 s="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 s="3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3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 s="3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3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 s="3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3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 s="3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3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 s="3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3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 s="3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 s="3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 s="3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3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 s="3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 s="3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 s="3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 s="3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 s="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 s="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 s="3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3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 s="3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3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 s="3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 s="3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 s="3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3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 s="3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3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 s="3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3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 s="3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3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 s="3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3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 s="3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3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 s="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 s="3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3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 s="3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 s="3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 s="3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3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 s="3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 s="3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 s="3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3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 s="3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3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 s="3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3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 s="3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3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 s="3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3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 s="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 s="3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3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 s="3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3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 s="3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3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 s="3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 s="3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 s="3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3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 s="3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 s="3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 s="3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3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 s="3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3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 s="3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3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 s="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 s="3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3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 s="3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3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 s="3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 s="3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 s="3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3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 s="3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3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 s="3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 s="3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 s="3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3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 s="3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3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 s="3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3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 s="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 s="3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 s="3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 s="3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3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 s="3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3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 s="3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3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 s="3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 s="3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 s="3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3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 s="3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 s="3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 s="3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3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 s="3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3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 s="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 s="3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3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 s="3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3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 s="3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3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 s="3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3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 s="3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3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 s="3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3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 s="3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3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 s="3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3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 s="3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3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 s="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 s="3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3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 s="3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3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 s="3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3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 s="3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 s="3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 s="3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3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 s="3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 s="3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 s="3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3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 s="3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3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 s="3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3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 s="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 s="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 s="3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3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 s="3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3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 s="3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 s="3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 s="3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3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 s="3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3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 s="3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3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 s="3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3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 s="3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3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 s="3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 s="3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 s="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 s="3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3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 s="3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3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 s="3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3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 s="3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3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 s="3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3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 s="3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 s="3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 s="3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3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 s="3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3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 s="3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3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 s="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 s="3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3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 s="3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3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 s="3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3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 s="3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3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 s="3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3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 s="3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3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 s="3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3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 s="3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3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 s="3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3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 s="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 s="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 s="3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3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 s="3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 s="3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 s="3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3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 s="3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 s="3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 s="3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3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 s="3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 s="3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 s="3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3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 s="3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3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 s="3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3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 s="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 s="3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 s="3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 s="3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 s="3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 s="3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3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 s="3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3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 s="3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3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 s="3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3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 s="3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 s="3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 s="3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3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 s="3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3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 s="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 s="3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3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 s="3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 s="3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 s="3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3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 s="3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3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 s="3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3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 s="3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 s="3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 s="3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3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 s="3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3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 s="3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 s="3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 s="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 s="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 s="3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3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 s="3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3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 s="3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3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 s="3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3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 s="3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3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 s="3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 s="3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 s="3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3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 s="3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 s="3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 s="3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3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 s="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 s="3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3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 s="3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3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 s="3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 s="3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 s="3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 s="3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 s="3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3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 s="3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3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 s="3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3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 s="3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 s="3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 s="3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3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 s="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 s="3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3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 s="3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3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 s="3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3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 s="3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 s="3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 s="3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3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 s="3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3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 s="3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 s="3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 s="3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3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 s="3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 s="3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 s="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 s="3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 s="3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 s="3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3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 s="3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3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 s="3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3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 s="3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 s="3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 s="3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3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 s="3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3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 s="3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3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 s="3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 s="3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 s="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 s="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 s="3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3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 s="3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3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 s="3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 s="3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 s="3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3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 s="3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3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 s="3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3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 s="3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3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 s="3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3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 s="3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 s="3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 s="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 s="3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3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 s="3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3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 s="3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3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 s="3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3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 s="3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 s="3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 s="3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3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 s="3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 s="3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 s="3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3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 s="3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3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 s="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 s="3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 s="3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 s="3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3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 s="3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3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 s="3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3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 s="3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3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 s="3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3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 s="3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3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 s="3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 s="3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 s="3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3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 s="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 s="3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3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 s="3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3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 s="3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3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 s="3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3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 s="3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 s="3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 s="3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3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 s="3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3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 s="3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3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 s="3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3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 s="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 s="3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3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 s="3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 s="3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 s="3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 s="3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 s="3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3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 s="3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3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 s="3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3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 s="3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3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 s="3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3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 s="3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3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 s="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 s="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 s="3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 s="3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 s="3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3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 s="3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 s="3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 s="3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3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 s="3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3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 s="3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3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 s="3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3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 s="3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3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 s="3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 s="3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 s="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 s="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 s="3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 s="3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 s="3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3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 s="3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3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 s="3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3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 s="3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3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 s="3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 s="3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 s="3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 s="3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 s="3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3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 s="3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3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 s="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 s="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 s="3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3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 s="3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3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 s="3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 s="3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 s="3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3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 s="3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 s="3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 s="3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3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 s="3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3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 s="3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3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 s="3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3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 s="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 s="3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 s="3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 s="3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3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 s="3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 s="3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 s="3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3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 s="3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 s="3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 s="3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3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 s="3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3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 s="3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3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 s="3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3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 s="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 s="3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3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 s="3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 s="3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 s="3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3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 s="3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3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 s="3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3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 s="3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 s="3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 s="3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3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 s="3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 s="3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 s="3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3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 s="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 s="3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3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 s="3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3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 s="3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3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 s="3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3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 s="3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3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 s="3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3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 s="3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3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 s="3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 s="3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 s="3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3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 s="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 s="3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 s="3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 s="3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3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 s="3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3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 s="3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 s="3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 s="3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3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 s="3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3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 s="3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3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 s="3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 s="3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 s="3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3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 s="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 s="3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3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 s="3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 s="3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 s="3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3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 s="3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3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 s="3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3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 s="3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3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 s="3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3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 s="3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 s="3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 s="3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3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 s="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 s="3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 s="3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 s="3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3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 s="3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 s="3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 s="3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3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 s="3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3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 s="3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3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 s="3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3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 s="3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3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 s="3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 s="3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 s="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 s="3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3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 s="3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3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 s="3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3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 s="3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3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 s="3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3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 s="3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 s="3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 s="3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3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 s="3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3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 s="3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3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 s="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 s="3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3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 s="3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3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 s="3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3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 s="3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 s="3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 s="3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3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 s="3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3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 s="3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 s="3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 s="3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3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 s="3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3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 s="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 s="3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3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 s="3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 s="3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 s="3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3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 s="3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3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 s="3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 s="3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 s="3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3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 s="3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3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 s="3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3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 s="3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 s="3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 s="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 s="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 s="3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3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 s="3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3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 s="3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 s="3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 s="3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3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 s="3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3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 s="3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3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 s="3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3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 s="3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3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 s="3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 s="3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 s="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 s="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 s="3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 s="3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 s="3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3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 s="3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3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 s="3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3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 s="3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 s="3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 s="3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3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 s="3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3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 s="3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3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 s="3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 s="3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 s="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 s="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 s="3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3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 s="3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3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 s="3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3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 s="3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 s="3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 s="3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3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 s="3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3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 s="3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3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 s="3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3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 s="3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3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 s="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 s="3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3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 s="3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3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 s="3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3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 s="3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 s="3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 s="3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3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 s="3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3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 s="3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3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 s="3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3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 s="3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 s="3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 s="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 s="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 s="3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3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 s="3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3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 s="3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3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 s="3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 s="3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 s="3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3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 s="3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3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 s="3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 s="3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 s="3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3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 s="3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3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 s="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 s="3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3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 s="3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 s="3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 s="3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3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 s="3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3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 s="3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 s="3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 s="3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3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 s="3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3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 s="3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3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 s="3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3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 s="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 s="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 s="3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3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 s="3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 s="3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 s="3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3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 s="3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3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 s="3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3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 s="3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3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 s="3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 s="3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 s="3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3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 s="3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 s="3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 s="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 s="3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 s="3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 s="3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3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 s="3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 s="3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 s="3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3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 s="3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3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 s="3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3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 s="3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 s="3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 s="3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3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 s="3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3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 s="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 s="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 s="3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3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 s="3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3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 s="3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 s="3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 s="3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3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 s="3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3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 s="3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3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 s="3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3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 s="3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3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 s="3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3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 s="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 s="3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 s="3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 s="3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3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 s="3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 s="3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 s="3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3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 s="3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3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 s="3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 s="3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 s="3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 s="3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 s="3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 s="3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 s="3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3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 s="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 s="3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 s="3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 s="3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3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 s="3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 s="3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 s="3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3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 s="3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3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 s="3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3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 s="3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3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 s="3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 s="3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 s="3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 s="3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 s="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 s="3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3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 s="3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3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 s="3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3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 s="3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 s="3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 s="3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3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 s="3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3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 s="3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3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 s="3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 s="3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 s="3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3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 s="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 s="3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3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 s="3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3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 s="3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3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 s="3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3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 s="3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3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 s="3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3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 s="3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3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 s="3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3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 s="3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3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 s="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 s="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 s="3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3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 s="3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3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 s="3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 s="3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 s="3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3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 s="3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3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 s="3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3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 s="3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3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 s="3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3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 s="3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3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 s="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 s="3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 s="3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 s="3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3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 s="3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 s="3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 s="3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3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 s="3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 s="3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 s="3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3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 s="3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3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 s="3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 s="3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 s="3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3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 s="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 s="3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3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 s="3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3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 s="3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3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 s="3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 s="3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 s="3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3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 s="3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3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 s="3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3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 s="3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3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 s="3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 s="3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 s="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 s="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 s="3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3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 s="3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3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 s="3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 s="3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 s="3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3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 s="3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3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 s="3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3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 s="3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3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 s="3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 s="3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 s="3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 s="3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 s="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 s="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 s="3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3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 s="3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 s="3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 s="3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3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 s="3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3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 s="3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3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 s="3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3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 s="3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3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 s="3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 s="3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 s="3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3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 s="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 s="3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 s="3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 s="3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3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 s="3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3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 s="3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3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 s="3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3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 s="3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3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 s="3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3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 s="3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3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 s="3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 s="3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 s="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 s="3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3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 s="3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3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 s="3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3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 s="3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3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 s="3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3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 s="3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3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 s="3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3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 s="3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3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 s="3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3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 s="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 s="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 s="3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3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 s="3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3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 s="3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3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 s="3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 s="3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 s="3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3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 s="3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3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 s="3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3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 s="3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3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 s="3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3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 s="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 s="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 s="3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 s="3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 s="3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3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 s="3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3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 s="3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 s="3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 s="3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3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 s="3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3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 s="3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3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 s="3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3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 s="3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 s="3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 s="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 s="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 s="3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3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 s="3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3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 s="3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3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 s="3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3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 s="3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3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 s="3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3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 s="3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3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 s="3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3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 s="3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3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 s="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 s="3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3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 s="3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3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 s="3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3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 s="3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 s="3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 s="3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 s="3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 s="3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3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 s="3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3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 s="3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3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 s="3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 s="3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 s="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 s="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 s="3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3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 s="3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3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 s="3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3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 s="3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3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 s="3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3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 s="3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 s="3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 s="3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3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 s="3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 s="3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 s="3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 s="3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 s="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 s="3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 s="3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 s="3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 s="3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 s="3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3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 s="3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 s="3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 s="3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3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 s="3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 s="3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 s="3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3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 s="3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3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 s="3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3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 s="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 s="3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3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 s="3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3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 s="3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3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 s="3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3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 s="3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 s="3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 s="3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 s="3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 s="3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3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 s="3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3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 s="3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 s="3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 s="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 s="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 s="3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3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 s="3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 s="3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 s="3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3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 s="3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3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 s="3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3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 s="3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 s="3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 s="3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3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 s="3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3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 s="3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3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 s="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 s="3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3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 s="3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3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 s="3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3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 s="3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3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 s="3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3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 s="3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3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 s="3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 s="3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 s="3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3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 s="3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 s="3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 s="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 s="3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3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 s="3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3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 s="3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3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 s="3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3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 s="3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3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 s="3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3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 s="3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3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 s="3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3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 s="3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3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 s="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 s="3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3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 s="3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3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 s="3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3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 s="3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3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 s="3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3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 s="3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3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 s="3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3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 s="3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3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 s="3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3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 s="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 s="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 s="3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3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 s="3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3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 s="3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 s="3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 s="3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3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 s="3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3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 s="3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 s="3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 s="3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 s="3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 s="3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 s="3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 s="3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3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 s="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 s="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 s="3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3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 s="3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3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 s="3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3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 s="3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3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 s="3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 s="3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 s="3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3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 s="3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 s="3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 s="3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3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 s="3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3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 s="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 s="3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3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 s="3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3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 s="3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3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 s="3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3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 s="3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 s="3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 s="3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 s="3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 s="3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 s="3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 s="3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3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 s="3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3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 s="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 s="3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3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 s="3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3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 s="3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3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 s="3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3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 s="3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3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 s="3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3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 s="3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 s="3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 s="3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3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 s="3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3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 s="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 s="3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 s="3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 s="3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3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 s="3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3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 s="3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3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 s="3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3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 s="3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3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 s="3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3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 s="3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 s="3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 s="3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3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 s="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 s="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 s="3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3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 s="3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3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 s="3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 s="3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 s="3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3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 s="3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 s="3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 s="3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 s="3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 s="3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 s="3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 s="3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3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 s="3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 s="3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 s="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 s="3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3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 s="3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3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 s="3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3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 s="3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3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 s="3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3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 s="3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3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 s="3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 s="3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 s="3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3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 s="3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 s="3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 s="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 s="3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 s="3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 s="3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 s="3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 s="3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3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 s="3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3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 s="3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 s="3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 s="3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3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 s="3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3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 s="3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3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 s="3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3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 s="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 s="3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3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 s="3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3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 s="3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3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 s="3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3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 s="3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 s="3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 s="3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3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 s="3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 s="3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 s="3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3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 s="3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 s="3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 s="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 s="3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 s="3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 s="3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3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 s="3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3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 s="3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3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 s="3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3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 s="3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3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 s="3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3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 s="3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 s="3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 s="3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3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 s="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 s="3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3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 s="3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 s="3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 s="3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3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 s="3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3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 s="3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3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 s="3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3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 s="3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3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 s="3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3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 s="3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3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 s="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 s="3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 s="3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 s="3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3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 s="3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3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 s="3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3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 s="3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3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 s="3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3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 s="3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 s="3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 s="3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 s="3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 s="3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3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 s="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 s="3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 s="3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 s="3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3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 s="3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3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 s="3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3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 s="3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3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 s="3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3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 s="3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3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 s="3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3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 s="3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3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 s="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 s="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 s="3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3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 s="3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3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 s="3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3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 s="3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3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 s="3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3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 s="3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3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 s="3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3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 s="3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3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 s="3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3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 s="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 s="3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3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 s="3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3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 s="3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 s="3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 s="3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3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 s="3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3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 s="3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3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 s="3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 s="3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 s="3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3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 s="3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3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 s="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 s="3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3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 s="3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3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 s="3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3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 s="3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3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 s="3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3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 s="3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3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 s="3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3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 s="3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3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 s="3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3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 s="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 s="3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3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 s="3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3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 s="3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3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 s="3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3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 s="3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3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 s="3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3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 s="3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3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 s="3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3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 s="3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3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 s="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 s="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 s="3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3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 s="3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3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 s="3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3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 s="3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 s="3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 s="3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3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 s="3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3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 s="3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3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 s="3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3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 s="3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3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 s="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 s="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 s="3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 s="3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 s="3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3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 s="3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3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 s="3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3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 s="3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3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 s="3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3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 s="3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 s="3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 s="3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3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 s="3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3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 s="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 s="3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3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 s="3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 s="3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 s="3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3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 s="3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3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 s="3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3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 s="3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 s="3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 s="3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 s="3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 s="3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3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 s="3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3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 s="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 s="3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3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 s="3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3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 s="3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3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 s="3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 s="3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 s="3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3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 s="3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3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 s="3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 s="3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 s="3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3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 s="3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3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 s="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 s="3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3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 s="3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 s="3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 s="3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3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 s="3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 s="3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 s="3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3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 s="3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3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 s="3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 s="3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 s="3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 s="3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 s="3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 s="3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 s="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 s="3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3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 s="3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3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 s="3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3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 s="3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3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 s="3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3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 s="3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3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 s="3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3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 s="3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3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 s="3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3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 s="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 s="3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 s="3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 s="3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3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 s="3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3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 s="3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3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 s="3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3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 s="3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 s="3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 s="3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3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 s="3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 s="3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 s="3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 s="3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 s="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 s="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 s="3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3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 s="3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 s="3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 s="3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 s="3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 s="3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3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 s="3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 s="3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 s="3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3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 s="3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3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 s="3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 s="3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 s="3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 s="3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 s="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 s="3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3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 s="3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3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 s="3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3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 s="3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3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 s="3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3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 s="3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3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 s="3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3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 s="3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 s="3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 s="3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 s="3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 s="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 s="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 s="3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3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 s="3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3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 s="3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3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 s="3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3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 s="3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 s="3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 s="3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3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 s="3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 s="3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 s="3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3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 s="3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3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 s="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 s="3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 s="3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 s="3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 s="3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 s="3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 s="3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 s="3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3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 s="3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3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 s="3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3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 s="3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3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 s="3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3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 s="3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3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 s="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 s="3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3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 s="3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 s="3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 s="3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 s="3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 s="3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 s="3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 s="3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3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 s="3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3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 s="3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 s="3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 s="3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3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 s="3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 s="3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 s="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 s="3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 s="3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 s="3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3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 s="3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 s="3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 s="3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3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 s="3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3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 s="3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3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 s="3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3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 s="3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3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 s="3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3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 s="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 s="3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3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 s="3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3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 s="3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3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 s="3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3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 s="3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3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 s="3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3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 s="3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 s="3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 s="3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3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 s="3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 s="3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 s="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 s="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 s="3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 s="3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 s="3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 s="3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 s="3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 s="3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 s="3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3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 s="3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3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 s="3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3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 s="3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3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 s="3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3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 s="3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3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 s="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 s="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 s="3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 s="3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 s="3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 s="3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 s="3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3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 s="3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3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 s="3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 s="3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 s="3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3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 s="3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3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 s="3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 s="3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 s="3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3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 s="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 s="3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3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 s="3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3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 s="3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3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 s="3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 s="3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 s="3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3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 s="3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3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 s="3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3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 s="3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3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 s="3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3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 s="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 s="3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 s="3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 s="3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3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 s="3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3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 s="3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3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 s="3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3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 s="3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3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 s="3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3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 s="3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3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 s="3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3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 s="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 s="3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3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 s="3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3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 s="3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 s="3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 s="3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3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 s="3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3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 s="3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3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 s="3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3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 s="3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 s="3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 s="3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3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 s="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 s="3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 s="3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 s="3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3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 s="3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3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 s="3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3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 s="3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 s="3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 s="3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3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 s="3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3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 s="3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E5B9-B0F1-4981-B82A-BAC1FF3CBFF2}">
  <dimension ref="A1:N1201"/>
  <sheetViews>
    <sheetView topLeftCell="C1" workbookViewId="0">
      <selection activeCell="Q25" sqref="Q25"/>
    </sheetView>
  </sheetViews>
  <sheetFormatPr defaultRowHeight="14.5" x14ac:dyDescent="0.35"/>
  <cols>
    <col min="1" max="1" width="10.7265625" bestFit="1" customWidth="1"/>
    <col min="2" max="2" width="10.54296875" bestFit="1" customWidth="1"/>
    <col min="3" max="3" width="13.1796875" bestFit="1" customWidth="1"/>
    <col min="4" max="4" width="9.81640625" bestFit="1" customWidth="1"/>
    <col min="5" max="5" width="10.54296875" bestFit="1" customWidth="1"/>
    <col min="6" max="6" width="10.81640625" bestFit="1" customWidth="1"/>
    <col min="7" max="7" width="17.26953125" bestFit="1" customWidth="1"/>
    <col min="8" max="8" width="17.7265625" bestFit="1" customWidth="1"/>
    <col min="9" max="9" width="13.26953125" bestFit="1" customWidth="1"/>
    <col min="10" max="10" width="17.26953125" bestFit="1" customWidth="1"/>
    <col min="11" max="11" width="13" bestFit="1" customWidth="1"/>
    <col min="12" max="12" width="14.26953125" bestFit="1" customWidth="1"/>
    <col min="13" max="13" width="15.7265625" bestFit="1" customWidth="1"/>
    <col min="14" max="14" width="11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6" t="s">
        <v>14</v>
      </c>
      <c r="B2" s="7">
        <v>44930</v>
      </c>
      <c r="C2" s="6" t="s">
        <v>15</v>
      </c>
      <c r="D2" s="6" t="s">
        <v>16</v>
      </c>
      <c r="E2">
        <v>5</v>
      </c>
      <c r="F2">
        <v>570.62</v>
      </c>
      <c r="G2" s="6" t="s">
        <v>17</v>
      </c>
      <c r="H2" s="6" t="s">
        <v>18</v>
      </c>
      <c r="I2" s="6" t="s">
        <v>19</v>
      </c>
      <c r="J2" s="6" t="s">
        <v>20</v>
      </c>
      <c r="K2">
        <v>7</v>
      </c>
      <c r="L2" s="6" t="s">
        <v>21</v>
      </c>
      <c r="M2" s="6" t="s">
        <v>22</v>
      </c>
      <c r="N2">
        <v>2853.1</v>
      </c>
    </row>
    <row r="3" spans="1:14" x14ac:dyDescent="0.35">
      <c r="A3" s="6" t="s">
        <v>23</v>
      </c>
      <c r="B3" s="7">
        <v>45527</v>
      </c>
      <c r="C3" s="6" t="s">
        <v>24</v>
      </c>
      <c r="D3" s="6" t="s">
        <v>25</v>
      </c>
      <c r="E3">
        <v>2</v>
      </c>
      <c r="F3">
        <v>151.35</v>
      </c>
      <c r="G3" s="6" t="s">
        <v>26</v>
      </c>
      <c r="H3" s="6" t="s">
        <v>27</v>
      </c>
      <c r="I3" s="6" t="s">
        <v>19</v>
      </c>
      <c r="J3" s="6" t="s">
        <v>28</v>
      </c>
      <c r="K3">
        <v>3</v>
      </c>
      <c r="L3" s="6" t="s">
        <v>21</v>
      </c>
      <c r="M3" s="6" t="s">
        <v>29</v>
      </c>
      <c r="N3">
        <v>302.7</v>
      </c>
    </row>
    <row r="4" spans="1:14" x14ac:dyDescent="0.35">
      <c r="A4" s="6" t="s">
        <v>30</v>
      </c>
      <c r="B4" s="7">
        <v>45349</v>
      </c>
      <c r="C4" s="6" t="s">
        <v>31</v>
      </c>
      <c r="D4" s="6" t="s">
        <v>32</v>
      </c>
      <c r="E4">
        <v>5</v>
      </c>
      <c r="F4">
        <v>550.67999999999995</v>
      </c>
      <c r="G4" s="6" t="s">
        <v>33</v>
      </c>
      <c r="H4" s="6" t="s">
        <v>34</v>
      </c>
      <c r="I4" s="6" t="s">
        <v>35</v>
      </c>
      <c r="J4" s="6" t="s">
        <v>36</v>
      </c>
      <c r="K4">
        <v>8</v>
      </c>
      <c r="L4" s="6" t="s">
        <v>37</v>
      </c>
      <c r="M4" s="6" t="s">
        <v>38</v>
      </c>
      <c r="N4">
        <v>2753.4</v>
      </c>
    </row>
    <row r="5" spans="1:14" x14ac:dyDescent="0.35">
      <c r="A5" s="6" t="s">
        <v>39</v>
      </c>
      <c r="B5" s="7">
        <v>45214</v>
      </c>
      <c r="C5" s="6" t="s">
        <v>40</v>
      </c>
      <c r="D5" s="6" t="s">
        <v>41</v>
      </c>
      <c r="E5">
        <v>1</v>
      </c>
      <c r="F5">
        <v>273.19</v>
      </c>
      <c r="G5" s="6" t="s">
        <v>42</v>
      </c>
      <c r="H5" s="6" t="s">
        <v>18</v>
      </c>
      <c r="I5" s="6" t="s">
        <v>43</v>
      </c>
      <c r="J5" s="6" t="s">
        <v>44</v>
      </c>
      <c r="K5">
        <v>5</v>
      </c>
      <c r="L5" s="6" t="s">
        <v>21</v>
      </c>
      <c r="M5" s="6" t="s">
        <v>45</v>
      </c>
      <c r="N5">
        <v>273.19</v>
      </c>
    </row>
    <row r="6" spans="1:14" x14ac:dyDescent="0.35">
      <c r="A6" s="6" t="s">
        <v>46</v>
      </c>
      <c r="B6" s="7">
        <v>45785</v>
      </c>
      <c r="C6" s="6" t="s">
        <v>47</v>
      </c>
      <c r="D6" s="6" t="s">
        <v>48</v>
      </c>
      <c r="E6">
        <v>4</v>
      </c>
      <c r="F6">
        <v>626.01</v>
      </c>
      <c r="G6" s="6" t="s">
        <v>49</v>
      </c>
      <c r="H6" s="6" t="s">
        <v>27</v>
      </c>
      <c r="I6" s="6" t="s">
        <v>50</v>
      </c>
      <c r="J6" s="6" t="s">
        <v>51</v>
      </c>
      <c r="K6">
        <v>8</v>
      </c>
      <c r="L6" s="6" t="s">
        <v>21</v>
      </c>
      <c r="M6" s="6" t="s">
        <v>38</v>
      </c>
      <c r="N6">
        <v>2504.04</v>
      </c>
    </row>
    <row r="7" spans="1:14" x14ac:dyDescent="0.35">
      <c r="A7" s="6" t="s">
        <v>52</v>
      </c>
      <c r="B7" s="7">
        <v>45222</v>
      </c>
      <c r="C7" s="6" t="s">
        <v>53</v>
      </c>
      <c r="D7" s="6" t="s">
        <v>25</v>
      </c>
      <c r="E7">
        <v>2</v>
      </c>
      <c r="F7">
        <v>245.86</v>
      </c>
      <c r="G7" s="6" t="s">
        <v>54</v>
      </c>
      <c r="H7" s="6" t="s">
        <v>34</v>
      </c>
      <c r="I7" s="6" t="s">
        <v>19</v>
      </c>
      <c r="J7" s="6" t="s">
        <v>55</v>
      </c>
      <c r="K7">
        <v>4</v>
      </c>
      <c r="L7" s="6" t="s">
        <v>21</v>
      </c>
      <c r="M7" s="6" t="s">
        <v>22</v>
      </c>
      <c r="N7">
        <v>491.72</v>
      </c>
    </row>
    <row r="8" spans="1:14" x14ac:dyDescent="0.35">
      <c r="A8" s="6" t="s">
        <v>56</v>
      </c>
      <c r="B8" s="7">
        <v>45825</v>
      </c>
      <c r="C8" s="6" t="s">
        <v>57</v>
      </c>
      <c r="D8" s="6" t="s">
        <v>58</v>
      </c>
      <c r="E8">
        <v>1</v>
      </c>
      <c r="F8">
        <v>664.42</v>
      </c>
      <c r="G8" s="6" t="s">
        <v>59</v>
      </c>
      <c r="H8" s="6" t="s">
        <v>60</v>
      </c>
      <c r="I8" s="6" t="s">
        <v>43</v>
      </c>
      <c r="J8" s="6" t="s">
        <v>61</v>
      </c>
      <c r="K8">
        <v>6</v>
      </c>
      <c r="L8" s="6" t="s">
        <v>21</v>
      </c>
      <c r="M8" s="6" t="s">
        <v>45</v>
      </c>
      <c r="N8">
        <v>664.42</v>
      </c>
    </row>
    <row r="9" spans="1:14" x14ac:dyDescent="0.35">
      <c r="A9" s="6" t="s">
        <v>62</v>
      </c>
      <c r="B9" s="7">
        <v>45058</v>
      </c>
      <c r="C9" s="6" t="s">
        <v>63</v>
      </c>
      <c r="D9" s="6" t="s">
        <v>16</v>
      </c>
      <c r="E9">
        <v>5</v>
      </c>
      <c r="F9">
        <v>149.55000000000001</v>
      </c>
      <c r="G9" s="6" t="s">
        <v>64</v>
      </c>
      <c r="H9" s="6" t="s">
        <v>65</v>
      </c>
      <c r="I9" s="6" t="s">
        <v>19</v>
      </c>
      <c r="J9" s="6" t="s">
        <v>66</v>
      </c>
      <c r="K9">
        <v>9</v>
      </c>
      <c r="L9" s="6" t="s">
        <v>37</v>
      </c>
      <c r="M9" s="6" t="s">
        <v>45</v>
      </c>
      <c r="N9">
        <v>747.75</v>
      </c>
    </row>
    <row r="10" spans="1:14" x14ac:dyDescent="0.35">
      <c r="A10" s="6" t="s">
        <v>67</v>
      </c>
      <c r="B10" s="7">
        <v>45749</v>
      </c>
      <c r="C10" s="6" t="s">
        <v>68</v>
      </c>
      <c r="D10" s="6" t="s">
        <v>25</v>
      </c>
      <c r="E10">
        <v>2</v>
      </c>
      <c r="F10">
        <v>134.28</v>
      </c>
      <c r="G10" s="6" t="s">
        <v>69</v>
      </c>
      <c r="H10" s="6" t="s">
        <v>60</v>
      </c>
      <c r="I10" s="6" t="s">
        <v>35</v>
      </c>
      <c r="J10" s="6" t="s">
        <v>70</v>
      </c>
      <c r="K10">
        <v>2</v>
      </c>
      <c r="L10" s="6" t="s">
        <v>4283</v>
      </c>
      <c r="M10" s="6" t="s">
        <v>38</v>
      </c>
      <c r="N10">
        <v>268.56</v>
      </c>
    </row>
    <row r="11" spans="1:14" x14ac:dyDescent="0.35">
      <c r="A11" s="6" t="s">
        <v>71</v>
      </c>
      <c r="B11" s="7">
        <v>45251</v>
      </c>
      <c r="C11" s="6" t="s">
        <v>72</v>
      </c>
      <c r="D11" s="6" t="s">
        <v>73</v>
      </c>
      <c r="E11">
        <v>4</v>
      </c>
      <c r="F11">
        <v>509.38</v>
      </c>
      <c r="G11" s="6" t="s">
        <v>74</v>
      </c>
      <c r="H11" s="6" t="s">
        <v>34</v>
      </c>
      <c r="I11" s="6" t="s">
        <v>19</v>
      </c>
      <c r="J11" s="6" t="s">
        <v>75</v>
      </c>
      <c r="K11">
        <v>6</v>
      </c>
      <c r="L11" s="6" t="s">
        <v>21</v>
      </c>
      <c r="M11" s="6" t="s">
        <v>76</v>
      </c>
      <c r="N11">
        <v>2037.52</v>
      </c>
    </row>
    <row r="12" spans="1:14" x14ac:dyDescent="0.35">
      <c r="A12" s="6" t="s">
        <v>77</v>
      </c>
      <c r="B12" s="7">
        <v>45289</v>
      </c>
      <c r="C12" s="6" t="s">
        <v>78</v>
      </c>
      <c r="D12" s="6" t="s">
        <v>32</v>
      </c>
      <c r="E12">
        <v>5</v>
      </c>
      <c r="F12">
        <v>625.97</v>
      </c>
      <c r="G12" s="6" t="s">
        <v>79</v>
      </c>
      <c r="H12" s="6" t="s">
        <v>34</v>
      </c>
      <c r="I12" s="6" t="s">
        <v>43</v>
      </c>
      <c r="J12" s="6" t="s">
        <v>80</v>
      </c>
      <c r="K12">
        <v>9</v>
      </c>
      <c r="L12" s="6" t="s">
        <v>81</v>
      </c>
      <c r="M12" s="6" t="s">
        <v>22</v>
      </c>
      <c r="N12">
        <v>3129.85</v>
      </c>
    </row>
    <row r="13" spans="1:14" x14ac:dyDescent="0.35">
      <c r="A13" s="6" t="s">
        <v>82</v>
      </c>
      <c r="B13" s="7">
        <v>45339</v>
      </c>
      <c r="C13" s="6" t="s">
        <v>83</v>
      </c>
      <c r="D13" s="6" t="s">
        <v>16</v>
      </c>
      <c r="E13">
        <v>3</v>
      </c>
      <c r="F13">
        <v>49.14</v>
      </c>
      <c r="G13" s="6" t="s">
        <v>84</v>
      </c>
      <c r="H13" s="6" t="s">
        <v>27</v>
      </c>
      <c r="I13" s="6" t="s">
        <v>43</v>
      </c>
      <c r="J13" s="6" t="s">
        <v>85</v>
      </c>
      <c r="K13">
        <v>7</v>
      </c>
      <c r="L13" s="6" t="s">
        <v>21</v>
      </c>
      <c r="M13" s="6" t="s">
        <v>38</v>
      </c>
      <c r="N13">
        <v>147.41999999999999</v>
      </c>
    </row>
    <row r="14" spans="1:14" x14ac:dyDescent="0.35">
      <c r="A14" s="6" t="s">
        <v>86</v>
      </c>
      <c r="B14" s="7">
        <v>45580</v>
      </c>
      <c r="C14" s="6" t="s">
        <v>87</v>
      </c>
      <c r="D14" s="6" t="s">
        <v>16</v>
      </c>
      <c r="E14">
        <v>2</v>
      </c>
      <c r="F14">
        <v>180.5</v>
      </c>
      <c r="G14" s="6" t="s">
        <v>88</v>
      </c>
      <c r="H14" s="6" t="s">
        <v>18</v>
      </c>
      <c r="I14" s="6" t="s">
        <v>89</v>
      </c>
      <c r="J14" s="6" t="s">
        <v>90</v>
      </c>
      <c r="K14">
        <v>6</v>
      </c>
      <c r="L14" s="6" t="s">
        <v>37</v>
      </c>
      <c r="M14" s="6" t="s">
        <v>29</v>
      </c>
      <c r="N14">
        <v>361</v>
      </c>
    </row>
    <row r="15" spans="1:14" x14ac:dyDescent="0.35">
      <c r="A15" s="6" t="s">
        <v>91</v>
      </c>
      <c r="B15" s="7">
        <v>45168</v>
      </c>
      <c r="C15" s="6" t="s">
        <v>92</v>
      </c>
      <c r="D15" s="6" t="s">
        <v>58</v>
      </c>
      <c r="E15">
        <v>3</v>
      </c>
      <c r="F15">
        <v>201.49</v>
      </c>
      <c r="G15" s="6" t="s">
        <v>93</v>
      </c>
      <c r="H15" s="6" t="s">
        <v>34</v>
      </c>
      <c r="I15" s="6" t="s">
        <v>43</v>
      </c>
      <c r="J15" s="6" t="s">
        <v>94</v>
      </c>
      <c r="K15">
        <v>4</v>
      </c>
      <c r="L15" s="6" t="s">
        <v>37</v>
      </c>
      <c r="M15" s="6" t="s">
        <v>45</v>
      </c>
      <c r="N15">
        <v>604.47</v>
      </c>
    </row>
    <row r="16" spans="1:14" x14ac:dyDescent="0.35">
      <c r="A16" s="6" t="s">
        <v>95</v>
      </c>
      <c r="B16" s="7">
        <v>45012</v>
      </c>
      <c r="C16" s="6" t="s">
        <v>96</v>
      </c>
      <c r="D16" s="6" t="s">
        <v>32</v>
      </c>
      <c r="E16">
        <v>2</v>
      </c>
      <c r="F16">
        <v>393.33</v>
      </c>
      <c r="G16" s="6" t="s">
        <v>97</v>
      </c>
      <c r="H16" s="6" t="s">
        <v>18</v>
      </c>
      <c r="I16" s="6" t="s">
        <v>89</v>
      </c>
      <c r="J16" s="6" t="s">
        <v>98</v>
      </c>
      <c r="K16">
        <v>3</v>
      </c>
      <c r="L16" s="6" t="s">
        <v>21</v>
      </c>
      <c r="M16" s="6" t="s">
        <v>22</v>
      </c>
      <c r="N16">
        <v>786.66</v>
      </c>
    </row>
    <row r="17" spans="1:14" x14ac:dyDescent="0.35">
      <c r="A17" s="6" t="s">
        <v>99</v>
      </c>
      <c r="B17" s="7">
        <v>45124</v>
      </c>
      <c r="C17" s="6" t="s">
        <v>100</v>
      </c>
      <c r="D17" s="6" t="s">
        <v>48</v>
      </c>
      <c r="E17">
        <v>1</v>
      </c>
      <c r="F17">
        <v>473.96</v>
      </c>
      <c r="G17" s="6" t="s">
        <v>101</v>
      </c>
      <c r="H17" s="6" t="s">
        <v>65</v>
      </c>
      <c r="I17" s="6" t="s">
        <v>50</v>
      </c>
      <c r="J17" s="6" t="s">
        <v>102</v>
      </c>
      <c r="K17">
        <v>3</v>
      </c>
      <c r="L17" s="6" t="s">
        <v>4283</v>
      </c>
      <c r="M17" s="6" t="s">
        <v>76</v>
      </c>
      <c r="N17">
        <v>473.96</v>
      </c>
    </row>
    <row r="18" spans="1:14" x14ac:dyDescent="0.35">
      <c r="A18" s="6" t="s">
        <v>103</v>
      </c>
      <c r="B18" s="7">
        <v>44950</v>
      </c>
      <c r="C18" s="6" t="s">
        <v>104</v>
      </c>
      <c r="D18" s="6" t="s">
        <v>48</v>
      </c>
      <c r="E18">
        <v>2</v>
      </c>
      <c r="F18">
        <v>533.80999999999995</v>
      </c>
      <c r="G18" s="6" t="s">
        <v>105</v>
      </c>
      <c r="H18" s="6" t="s">
        <v>34</v>
      </c>
      <c r="I18" s="6" t="s">
        <v>89</v>
      </c>
      <c r="J18" s="6" t="s">
        <v>106</v>
      </c>
      <c r="K18">
        <v>3</v>
      </c>
      <c r="L18" s="6" t="s">
        <v>37</v>
      </c>
      <c r="M18" s="6" t="s">
        <v>38</v>
      </c>
      <c r="N18">
        <v>1067.6199999999999</v>
      </c>
    </row>
    <row r="19" spans="1:14" x14ac:dyDescent="0.35">
      <c r="A19" s="6" t="s">
        <v>107</v>
      </c>
      <c r="B19" s="7">
        <v>45353</v>
      </c>
      <c r="C19" s="6" t="s">
        <v>108</v>
      </c>
      <c r="D19" s="6" t="s">
        <v>32</v>
      </c>
      <c r="E19">
        <v>1</v>
      </c>
      <c r="F19">
        <v>423.4</v>
      </c>
      <c r="G19" s="6" t="s">
        <v>109</v>
      </c>
      <c r="H19" s="6" t="s">
        <v>18</v>
      </c>
      <c r="I19" s="6" t="s">
        <v>19</v>
      </c>
      <c r="J19" s="6" t="s">
        <v>110</v>
      </c>
      <c r="K19">
        <v>3</v>
      </c>
      <c r="L19" s="6" t="s">
        <v>4283</v>
      </c>
      <c r="M19" s="6" t="s">
        <v>29</v>
      </c>
      <c r="N19">
        <v>423.4</v>
      </c>
    </row>
    <row r="20" spans="1:14" x14ac:dyDescent="0.35">
      <c r="A20" s="6" t="s">
        <v>111</v>
      </c>
      <c r="B20" s="7">
        <v>45742</v>
      </c>
      <c r="C20" s="6" t="s">
        <v>112</v>
      </c>
      <c r="D20" s="6" t="s">
        <v>73</v>
      </c>
      <c r="E20">
        <v>1</v>
      </c>
      <c r="F20">
        <v>431.44</v>
      </c>
      <c r="G20" s="6" t="s">
        <v>113</v>
      </c>
      <c r="H20" s="6" t="s">
        <v>60</v>
      </c>
      <c r="I20" s="6" t="s">
        <v>89</v>
      </c>
      <c r="J20" s="6" t="s">
        <v>114</v>
      </c>
      <c r="K20">
        <v>3</v>
      </c>
      <c r="L20" s="6" t="s">
        <v>21</v>
      </c>
      <c r="M20" s="6" t="s">
        <v>45</v>
      </c>
      <c r="N20">
        <v>431.44</v>
      </c>
    </row>
    <row r="21" spans="1:14" x14ac:dyDescent="0.35">
      <c r="A21" s="6" t="s">
        <v>115</v>
      </c>
      <c r="B21" s="7">
        <v>44949</v>
      </c>
      <c r="C21" s="6" t="s">
        <v>116</v>
      </c>
      <c r="D21" s="6" t="s">
        <v>16</v>
      </c>
      <c r="E21">
        <v>5</v>
      </c>
      <c r="F21">
        <v>224</v>
      </c>
      <c r="G21" s="6" t="s">
        <v>117</v>
      </c>
      <c r="H21" s="6" t="s">
        <v>65</v>
      </c>
      <c r="I21" s="6" t="s">
        <v>43</v>
      </c>
      <c r="J21" s="6" t="s">
        <v>118</v>
      </c>
      <c r="K21">
        <v>9</v>
      </c>
      <c r="L21" s="6" t="s">
        <v>21</v>
      </c>
      <c r="M21" s="6" t="s">
        <v>76</v>
      </c>
      <c r="N21">
        <v>1120</v>
      </c>
    </row>
    <row r="22" spans="1:14" x14ac:dyDescent="0.35">
      <c r="A22" s="6" t="s">
        <v>119</v>
      </c>
      <c r="B22" s="7">
        <v>45054</v>
      </c>
      <c r="C22" s="6" t="s">
        <v>120</v>
      </c>
      <c r="D22" s="6" t="s">
        <v>41</v>
      </c>
      <c r="E22">
        <v>5</v>
      </c>
      <c r="F22">
        <v>62.51</v>
      </c>
      <c r="G22" s="6" t="s">
        <v>121</v>
      </c>
      <c r="H22" s="6" t="s">
        <v>65</v>
      </c>
      <c r="I22" s="6" t="s">
        <v>89</v>
      </c>
      <c r="J22" s="6" t="s">
        <v>122</v>
      </c>
      <c r="K22">
        <v>9</v>
      </c>
      <c r="L22" s="6" t="s">
        <v>81</v>
      </c>
      <c r="M22" s="6" t="s">
        <v>22</v>
      </c>
      <c r="N22">
        <v>312.55</v>
      </c>
    </row>
    <row r="23" spans="1:14" x14ac:dyDescent="0.35">
      <c r="A23" s="6" t="s">
        <v>123</v>
      </c>
      <c r="B23" s="7">
        <v>45613</v>
      </c>
      <c r="C23" s="6" t="s">
        <v>124</v>
      </c>
      <c r="D23" s="6" t="s">
        <v>16</v>
      </c>
      <c r="E23">
        <v>4</v>
      </c>
      <c r="F23">
        <v>342.95</v>
      </c>
      <c r="G23" s="6" t="s">
        <v>125</v>
      </c>
      <c r="H23" s="6" t="s">
        <v>65</v>
      </c>
      <c r="I23" s="6" t="s">
        <v>50</v>
      </c>
      <c r="J23" s="6" t="s">
        <v>126</v>
      </c>
      <c r="K23">
        <v>6</v>
      </c>
      <c r="L23" s="6" t="s">
        <v>4283</v>
      </c>
      <c r="M23" s="6" t="s">
        <v>76</v>
      </c>
      <c r="N23">
        <v>1371.8</v>
      </c>
    </row>
    <row r="24" spans="1:14" x14ac:dyDescent="0.35">
      <c r="A24" s="6" t="s">
        <v>127</v>
      </c>
      <c r="B24" s="7">
        <v>44955</v>
      </c>
      <c r="C24" s="6" t="s">
        <v>128</v>
      </c>
      <c r="D24" s="6" t="s">
        <v>16</v>
      </c>
      <c r="E24">
        <v>2</v>
      </c>
      <c r="F24">
        <v>49.62</v>
      </c>
      <c r="G24" s="6" t="s">
        <v>129</v>
      </c>
      <c r="H24" s="6" t="s">
        <v>27</v>
      </c>
      <c r="I24" s="6" t="s">
        <v>89</v>
      </c>
      <c r="J24" s="6" t="s">
        <v>130</v>
      </c>
      <c r="K24">
        <v>2</v>
      </c>
      <c r="L24" s="6" t="s">
        <v>21</v>
      </c>
      <c r="M24" s="6" t="s">
        <v>76</v>
      </c>
      <c r="N24">
        <v>99.24</v>
      </c>
    </row>
    <row r="25" spans="1:14" x14ac:dyDescent="0.35">
      <c r="A25" s="6" t="s">
        <v>131</v>
      </c>
      <c r="B25" s="7">
        <v>45756</v>
      </c>
      <c r="C25" s="6" t="s">
        <v>132</v>
      </c>
      <c r="D25" s="6" t="s">
        <v>25</v>
      </c>
      <c r="E25">
        <v>4</v>
      </c>
      <c r="F25">
        <v>273.25</v>
      </c>
      <c r="G25" s="6" t="s">
        <v>133</v>
      </c>
      <c r="H25" s="6" t="s">
        <v>18</v>
      </c>
      <c r="I25" s="6" t="s">
        <v>35</v>
      </c>
      <c r="J25" s="6" t="s">
        <v>134</v>
      </c>
      <c r="K25">
        <v>5</v>
      </c>
      <c r="L25" s="6" t="s">
        <v>37</v>
      </c>
      <c r="M25" s="6" t="s">
        <v>29</v>
      </c>
      <c r="N25">
        <v>1093</v>
      </c>
    </row>
    <row r="26" spans="1:14" x14ac:dyDescent="0.35">
      <c r="A26" s="6" t="s">
        <v>135</v>
      </c>
      <c r="B26" s="7">
        <v>45595</v>
      </c>
      <c r="C26" s="6" t="s">
        <v>136</v>
      </c>
      <c r="D26" s="6" t="s">
        <v>58</v>
      </c>
      <c r="E26">
        <v>2</v>
      </c>
      <c r="F26">
        <v>230.95</v>
      </c>
      <c r="G26" s="6" t="s">
        <v>137</v>
      </c>
      <c r="H26" s="6" t="s">
        <v>27</v>
      </c>
      <c r="I26" s="6" t="s">
        <v>50</v>
      </c>
      <c r="J26" s="6" t="s">
        <v>138</v>
      </c>
      <c r="K26">
        <v>3</v>
      </c>
      <c r="L26" s="6" t="s">
        <v>81</v>
      </c>
      <c r="M26" s="6" t="s">
        <v>29</v>
      </c>
      <c r="N26">
        <v>461.9</v>
      </c>
    </row>
    <row r="27" spans="1:14" x14ac:dyDescent="0.35">
      <c r="A27" s="6" t="s">
        <v>139</v>
      </c>
      <c r="B27" s="7">
        <v>45497</v>
      </c>
      <c r="C27" s="6" t="s">
        <v>140</v>
      </c>
      <c r="D27" s="6" t="s">
        <v>16</v>
      </c>
      <c r="E27">
        <v>1</v>
      </c>
      <c r="F27">
        <v>399.98</v>
      </c>
      <c r="G27" s="6" t="s">
        <v>141</v>
      </c>
      <c r="H27" s="6" t="s">
        <v>18</v>
      </c>
      <c r="I27" s="6" t="s">
        <v>50</v>
      </c>
      <c r="J27" s="6" t="s">
        <v>142</v>
      </c>
      <c r="K27">
        <v>3</v>
      </c>
      <c r="L27" s="6" t="s">
        <v>81</v>
      </c>
      <c r="M27" s="6" t="s">
        <v>38</v>
      </c>
      <c r="N27">
        <v>399.98</v>
      </c>
    </row>
    <row r="28" spans="1:14" x14ac:dyDescent="0.35">
      <c r="A28" s="6" t="s">
        <v>143</v>
      </c>
      <c r="B28" s="7">
        <v>45357</v>
      </c>
      <c r="C28" s="6" t="s">
        <v>144</v>
      </c>
      <c r="D28" s="6" t="s">
        <v>58</v>
      </c>
      <c r="E28">
        <v>5</v>
      </c>
      <c r="F28">
        <v>59.55</v>
      </c>
      <c r="G28" s="6" t="s">
        <v>145</v>
      </c>
      <c r="H28" s="6" t="s">
        <v>27</v>
      </c>
      <c r="I28" s="6" t="s">
        <v>50</v>
      </c>
      <c r="J28" s="6" t="s">
        <v>146</v>
      </c>
      <c r="K28">
        <v>6</v>
      </c>
      <c r="L28" s="6" t="s">
        <v>4283</v>
      </c>
      <c r="M28" s="6" t="s">
        <v>29</v>
      </c>
      <c r="N28">
        <v>297.75</v>
      </c>
    </row>
    <row r="29" spans="1:14" x14ac:dyDescent="0.35">
      <c r="A29" s="6" t="s">
        <v>147</v>
      </c>
      <c r="B29" s="7">
        <v>45344</v>
      </c>
      <c r="C29" s="6" t="s">
        <v>148</v>
      </c>
      <c r="D29" s="6" t="s">
        <v>48</v>
      </c>
      <c r="E29">
        <v>1</v>
      </c>
      <c r="F29">
        <v>472.74</v>
      </c>
      <c r="G29" s="6" t="s">
        <v>149</v>
      </c>
      <c r="H29" s="6" t="s">
        <v>27</v>
      </c>
      <c r="I29" s="6" t="s">
        <v>19</v>
      </c>
      <c r="J29" s="6" t="s">
        <v>150</v>
      </c>
      <c r="K29">
        <v>6</v>
      </c>
      <c r="L29" s="6" t="s">
        <v>81</v>
      </c>
      <c r="M29" s="6" t="s">
        <v>76</v>
      </c>
      <c r="N29">
        <v>472.74</v>
      </c>
    </row>
    <row r="30" spans="1:14" x14ac:dyDescent="0.35">
      <c r="A30" s="6" t="s">
        <v>151</v>
      </c>
      <c r="B30" s="7">
        <v>45251</v>
      </c>
      <c r="C30" s="6" t="s">
        <v>152</v>
      </c>
      <c r="D30" s="6" t="s">
        <v>25</v>
      </c>
      <c r="E30">
        <v>4</v>
      </c>
      <c r="F30">
        <v>160.07</v>
      </c>
      <c r="G30" s="6" t="s">
        <v>153</v>
      </c>
      <c r="H30" s="6" t="s">
        <v>27</v>
      </c>
      <c r="I30" s="6" t="s">
        <v>89</v>
      </c>
      <c r="J30" s="6" t="s">
        <v>154</v>
      </c>
      <c r="K30">
        <v>5</v>
      </c>
      <c r="L30" s="6" t="s">
        <v>4283</v>
      </c>
      <c r="M30" s="6" t="s">
        <v>38</v>
      </c>
      <c r="N30">
        <v>640.28</v>
      </c>
    </row>
    <row r="31" spans="1:14" x14ac:dyDescent="0.35">
      <c r="A31" s="6" t="s">
        <v>155</v>
      </c>
      <c r="B31" s="7">
        <v>45555</v>
      </c>
      <c r="C31" s="6" t="s">
        <v>156</v>
      </c>
      <c r="D31" s="6" t="s">
        <v>73</v>
      </c>
      <c r="E31">
        <v>3</v>
      </c>
      <c r="F31">
        <v>423.53</v>
      </c>
      <c r="G31" s="6" t="s">
        <v>157</v>
      </c>
      <c r="H31" s="6" t="s">
        <v>34</v>
      </c>
      <c r="I31" s="6" t="s">
        <v>50</v>
      </c>
      <c r="J31" s="6" t="s">
        <v>158</v>
      </c>
      <c r="K31">
        <v>6</v>
      </c>
      <c r="L31" s="6" t="s">
        <v>21</v>
      </c>
      <c r="M31" s="6" t="s">
        <v>29</v>
      </c>
      <c r="N31">
        <v>1270.5899999999999</v>
      </c>
    </row>
    <row r="32" spans="1:14" x14ac:dyDescent="0.35">
      <c r="A32" s="6" t="s">
        <v>159</v>
      </c>
      <c r="B32" s="7">
        <v>45738</v>
      </c>
      <c r="C32" s="6" t="s">
        <v>160</v>
      </c>
      <c r="D32" s="6" t="s">
        <v>16</v>
      </c>
      <c r="E32">
        <v>2</v>
      </c>
      <c r="F32">
        <v>426.7</v>
      </c>
      <c r="G32" s="6" t="s">
        <v>161</v>
      </c>
      <c r="H32" s="6" t="s">
        <v>27</v>
      </c>
      <c r="I32" s="6" t="s">
        <v>89</v>
      </c>
      <c r="J32" s="6" t="s">
        <v>162</v>
      </c>
      <c r="K32">
        <v>5</v>
      </c>
      <c r="L32" s="6" t="s">
        <v>21</v>
      </c>
      <c r="M32" s="6" t="s">
        <v>29</v>
      </c>
      <c r="N32">
        <v>853.4</v>
      </c>
    </row>
    <row r="33" spans="1:14" x14ac:dyDescent="0.35">
      <c r="A33" s="6" t="s">
        <v>163</v>
      </c>
      <c r="B33" s="7">
        <v>45107</v>
      </c>
      <c r="C33" s="6" t="s">
        <v>164</v>
      </c>
      <c r="D33" s="6" t="s">
        <v>41</v>
      </c>
      <c r="E33">
        <v>3</v>
      </c>
      <c r="F33">
        <v>500.08</v>
      </c>
      <c r="G33" s="6" t="s">
        <v>165</v>
      </c>
      <c r="H33" s="6" t="s">
        <v>18</v>
      </c>
      <c r="I33" s="6" t="s">
        <v>43</v>
      </c>
      <c r="J33" s="6" t="s">
        <v>166</v>
      </c>
      <c r="K33">
        <v>6</v>
      </c>
      <c r="L33" s="6" t="s">
        <v>4283</v>
      </c>
      <c r="M33" s="6" t="s">
        <v>45</v>
      </c>
      <c r="N33">
        <v>1500.24</v>
      </c>
    </row>
    <row r="34" spans="1:14" x14ac:dyDescent="0.35">
      <c r="A34" s="6" t="s">
        <v>167</v>
      </c>
      <c r="B34" s="7">
        <v>45047</v>
      </c>
      <c r="C34" s="6" t="s">
        <v>168</v>
      </c>
      <c r="D34" s="6" t="s">
        <v>32</v>
      </c>
      <c r="E34">
        <v>5</v>
      </c>
      <c r="F34">
        <v>536.72</v>
      </c>
      <c r="G34" s="6" t="s">
        <v>169</v>
      </c>
      <c r="H34" s="6" t="s">
        <v>65</v>
      </c>
      <c r="I34" s="6" t="s">
        <v>50</v>
      </c>
      <c r="J34" s="6" t="s">
        <v>170</v>
      </c>
      <c r="K34">
        <v>10</v>
      </c>
      <c r="L34" s="6" t="s">
        <v>4283</v>
      </c>
      <c r="M34" s="6" t="s">
        <v>38</v>
      </c>
      <c r="N34">
        <v>2683.6</v>
      </c>
    </row>
    <row r="35" spans="1:14" x14ac:dyDescent="0.35">
      <c r="A35" s="6" t="s">
        <v>171</v>
      </c>
      <c r="B35" s="7">
        <v>45082</v>
      </c>
      <c r="C35" s="6" t="s">
        <v>172</v>
      </c>
      <c r="D35" s="6" t="s">
        <v>41</v>
      </c>
      <c r="E35">
        <v>1</v>
      </c>
      <c r="F35">
        <v>162.77000000000001</v>
      </c>
      <c r="G35" s="6" t="s">
        <v>173</v>
      </c>
      <c r="H35" s="6" t="s">
        <v>27</v>
      </c>
      <c r="I35" s="6" t="s">
        <v>35</v>
      </c>
      <c r="J35" s="6" t="s">
        <v>174</v>
      </c>
      <c r="K35">
        <v>4</v>
      </c>
      <c r="L35" s="6" t="s">
        <v>81</v>
      </c>
      <c r="M35" s="6" t="s">
        <v>45</v>
      </c>
      <c r="N35">
        <v>162.77000000000001</v>
      </c>
    </row>
    <row r="36" spans="1:14" x14ac:dyDescent="0.35">
      <c r="A36" s="6" t="s">
        <v>175</v>
      </c>
      <c r="B36" s="7">
        <v>44933</v>
      </c>
      <c r="C36" s="6" t="s">
        <v>176</v>
      </c>
      <c r="D36" s="6" t="s">
        <v>41</v>
      </c>
      <c r="E36">
        <v>4</v>
      </c>
      <c r="F36">
        <v>576.52</v>
      </c>
      <c r="G36" s="6" t="s">
        <v>177</v>
      </c>
      <c r="H36" s="6" t="s">
        <v>34</v>
      </c>
      <c r="I36" s="6" t="s">
        <v>89</v>
      </c>
      <c r="J36" s="6" t="s">
        <v>178</v>
      </c>
      <c r="K36">
        <v>5</v>
      </c>
      <c r="L36" s="6" t="s">
        <v>81</v>
      </c>
      <c r="M36" s="6" t="s">
        <v>45</v>
      </c>
      <c r="N36">
        <v>2306.08</v>
      </c>
    </row>
    <row r="37" spans="1:14" x14ac:dyDescent="0.35">
      <c r="A37" s="6" t="s">
        <v>179</v>
      </c>
      <c r="B37" s="7">
        <v>45633</v>
      </c>
      <c r="C37" s="6" t="s">
        <v>180</v>
      </c>
      <c r="D37" s="6" t="s">
        <v>16</v>
      </c>
      <c r="E37">
        <v>2</v>
      </c>
      <c r="F37">
        <v>465.15</v>
      </c>
      <c r="G37" s="6" t="s">
        <v>181</v>
      </c>
      <c r="H37" s="6" t="s">
        <v>27</v>
      </c>
      <c r="I37" s="6" t="s">
        <v>19</v>
      </c>
      <c r="J37" s="6" t="s">
        <v>182</v>
      </c>
      <c r="K37">
        <v>2</v>
      </c>
      <c r="L37" s="6" t="s">
        <v>21</v>
      </c>
      <c r="M37" s="6" t="s">
        <v>45</v>
      </c>
      <c r="N37">
        <v>930.3</v>
      </c>
    </row>
    <row r="38" spans="1:14" x14ac:dyDescent="0.35">
      <c r="A38" s="6" t="s">
        <v>183</v>
      </c>
      <c r="B38" s="7">
        <v>45785</v>
      </c>
      <c r="C38" s="6" t="s">
        <v>184</v>
      </c>
      <c r="D38" s="6" t="s">
        <v>58</v>
      </c>
      <c r="E38">
        <v>2</v>
      </c>
      <c r="F38">
        <v>534.42999999999995</v>
      </c>
      <c r="G38" s="6" t="s">
        <v>185</v>
      </c>
      <c r="H38" s="6" t="s">
        <v>18</v>
      </c>
      <c r="I38" s="6" t="s">
        <v>89</v>
      </c>
      <c r="J38" s="6" t="s">
        <v>186</v>
      </c>
      <c r="K38">
        <v>5</v>
      </c>
      <c r="L38" s="6" t="s">
        <v>4283</v>
      </c>
      <c r="M38" s="6" t="s">
        <v>45</v>
      </c>
      <c r="N38">
        <v>1068.8599999999999</v>
      </c>
    </row>
    <row r="39" spans="1:14" x14ac:dyDescent="0.35">
      <c r="A39" s="6" t="s">
        <v>187</v>
      </c>
      <c r="B39" s="7">
        <v>45579</v>
      </c>
      <c r="C39" s="6" t="s">
        <v>188</v>
      </c>
      <c r="D39" s="6" t="s">
        <v>58</v>
      </c>
      <c r="E39">
        <v>2</v>
      </c>
      <c r="F39">
        <v>76.739999999999995</v>
      </c>
      <c r="G39" s="6" t="s">
        <v>189</v>
      </c>
      <c r="H39" s="6" t="s">
        <v>65</v>
      </c>
      <c r="I39" s="6" t="s">
        <v>43</v>
      </c>
      <c r="J39" s="6" t="s">
        <v>190</v>
      </c>
      <c r="K39">
        <v>7</v>
      </c>
      <c r="L39" s="6" t="s">
        <v>21</v>
      </c>
      <c r="M39" s="6" t="s">
        <v>22</v>
      </c>
      <c r="N39">
        <v>153.47999999999999</v>
      </c>
    </row>
    <row r="40" spans="1:14" x14ac:dyDescent="0.35">
      <c r="A40" s="6" t="s">
        <v>191</v>
      </c>
      <c r="B40" s="7">
        <v>45645</v>
      </c>
      <c r="C40" s="6" t="s">
        <v>192</v>
      </c>
      <c r="D40" s="6" t="s">
        <v>58</v>
      </c>
      <c r="E40">
        <v>1</v>
      </c>
      <c r="F40">
        <v>245.89</v>
      </c>
      <c r="G40" s="6" t="s">
        <v>193</v>
      </c>
      <c r="H40" s="6" t="s">
        <v>18</v>
      </c>
      <c r="I40" s="6" t="s">
        <v>50</v>
      </c>
      <c r="J40" s="6" t="s">
        <v>194</v>
      </c>
      <c r="K40">
        <v>3</v>
      </c>
      <c r="L40" s="6" t="s">
        <v>21</v>
      </c>
      <c r="M40" s="6" t="s">
        <v>76</v>
      </c>
      <c r="N40">
        <v>245.89</v>
      </c>
    </row>
    <row r="41" spans="1:14" x14ac:dyDescent="0.35">
      <c r="A41" s="6" t="s">
        <v>195</v>
      </c>
      <c r="B41" s="7">
        <v>45715</v>
      </c>
      <c r="C41" s="6" t="s">
        <v>196</v>
      </c>
      <c r="D41" s="6" t="s">
        <v>48</v>
      </c>
      <c r="E41">
        <v>3</v>
      </c>
      <c r="F41">
        <v>256.45999999999998</v>
      </c>
      <c r="G41" s="6" t="s">
        <v>197</v>
      </c>
      <c r="H41" s="6" t="s">
        <v>34</v>
      </c>
      <c r="I41" s="6" t="s">
        <v>50</v>
      </c>
      <c r="J41" s="6" t="s">
        <v>198</v>
      </c>
      <c r="K41">
        <v>4</v>
      </c>
      <c r="L41" s="6" t="s">
        <v>21</v>
      </c>
      <c r="M41" s="6" t="s">
        <v>29</v>
      </c>
      <c r="N41">
        <v>769.38</v>
      </c>
    </row>
    <row r="42" spans="1:14" x14ac:dyDescent="0.35">
      <c r="A42" s="6" t="s">
        <v>199</v>
      </c>
      <c r="B42" s="7">
        <v>45158</v>
      </c>
      <c r="C42" s="6" t="s">
        <v>200</v>
      </c>
      <c r="D42" s="6" t="s">
        <v>73</v>
      </c>
      <c r="E42">
        <v>2</v>
      </c>
      <c r="F42">
        <v>344.02</v>
      </c>
      <c r="G42" s="6" t="s">
        <v>201</v>
      </c>
      <c r="H42" s="6" t="s">
        <v>27</v>
      </c>
      <c r="I42" s="6" t="s">
        <v>50</v>
      </c>
      <c r="J42" s="6" t="s">
        <v>202</v>
      </c>
      <c r="K42">
        <v>4</v>
      </c>
      <c r="L42" s="6" t="s">
        <v>37</v>
      </c>
      <c r="M42" s="6" t="s">
        <v>22</v>
      </c>
      <c r="N42">
        <v>688.04</v>
      </c>
    </row>
    <row r="43" spans="1:14" x14ac:dyDescent="0.35">
      <c r="A43" s="6" t="s">
        <v>203</v>
      </c>
      <c r="B43" s="7">
        <v>45265</v>
      </c>
      <c r="C43" s="6" t="s">
        <v>204</v>
      </c>
      <c r="D43" s="6" t="s">
        <v>16</v>
      </c>
      <c r="E43">
        <v>3</v>
      </c>
      <c r="F43">
        <v>611.45000000000005</v>
      </c>
      <c r="G43" s="6" t="s">
        <v>205</v>
      </c>
      <c r="H43" s="6" t="s">
        <v>60</v>
      </c>
      <c r="I43" s="6" t="s">
        <v>89</v>
      </c>
      <c r="J43" s="6" t="s">
        <v>206</v>
      </c>
      <c r="K43">
        <v>4</v>
      </c>
      <c r="L43" s="6" t="s">
        <v>37</v>
      </c>
      <c r="M43" s="6" t="s">
        <v>22</v>
      </c>
      <c r="N43">
        <v>1834.35</v>
      </c>
    </row>
    <row r="44" spans="1:14" x14ac:dyDescent="0.35">
      <c r="A44" s="6" t="s">
        <v>207</v>
      </c>
      <c r="B44" s="7">
        <v>45418</v>
      </c>
      <c r="C44" s="6" t="s">
        <v>208</v>
      </c>
      <c r="D44" s="6" t="s">
        <v>48</v>
      </c>
      <c r="E44">
        <v>2</v>
      </c>
      <c r="F44">
        <v>151.66</v>
      </c>
      <c r="G44" s="6" t="s">
        <v>97</v>
      </c>
      <c r="H44" s="6" t="s">
        <v>65</v>
      </c>
      <c r="I44" s="6" t="s">
        <v>35</v>
      </c>
      <c r="J44" s="6" t="s">
        <v>209</v>
      </c>
      <c r="K44">
        <v>6</v>
      </c>
      <c r="L44" s="6" t="s">
        <v>4283</v>
      </c>
      <c r="M44" s="6" t="s">
        <v>22</v>
      </c>
      <c r="N44">
        <v>303.32</v>
      </c>
    </row>
    <row r="45" spans="1:14" x14ac:dyDescent="0.35">
      <c r="A45" s="6" t="s">
        <v>210</v>
      </c>
      <c r="B45" s="7">
        <v>45274</v>
      </c>
      <c r="C45" s="6" t="s">
        <v>211</v>
      </c>
      <c r="D45" s="6" t="s">
        <v>41</v>
      </c>
      <c r="E45">
        <v>3</v>
      </c>
      <c r="F45">
        <v>499.21</v>
      </c>
      <c r="G45" s="6" t="s">
        <v>212</v>
      </c>
      <c r="H45" s="6" t="s">
        <v>27</v>
      </c>
      <c r="I45" s="6" t="s">
        <v>35</v>
      </c>
      <c r="J45" s="6" t="s">
        <v>213</v>
      </c>
      <c r="K45">
        <v>8</v>
      </c>
      <c r="L45" s="6" t="s">
        <v>4283</v>
      </c>
      <c r="M45" s="6" t="s">
        <v>22</v>
      </c>
      <c r="N45">
        <v>1497.63</v>
      </c>
    </row>
    <row r="46" spans="1:14" x14ac:dyDescent="0.35">
      <c r="A46" s="6" t="s">
        <v>214</v>
      </c>
      <c r="B46" s="7">
        <v>45768</v>
      </c>
      <c r="C46" s="6" t="s">
        <v>215</v>
      </c>
      <c r="D46" s="6" t="s">
        <v>25</v>
      </c>
      <c r="E46">
        <v>2</v>
      </c>
      <c r="F46">
        <v>550.17999999999995</v>
      </c>
      <c r="G46" s="6" t="s">
        <v>165</v>
      </c>
      <c r="H46" s="6" t="s">
        <v>60</v>
      </c>
      <c r="I46" s="6" t="s">
        <v>43</v>
      </c>
      <c r="J46" s="6" t="s">
        <v>216</v>
      </c>
      <c r="K46">
        <v>3</v>
      </c>
      <c r="L46" s="6" t="s">
        <v>37</v>
      </c>
      <c r="M46" s="6" t="s">
        <v>29</v>
      </c>
      <c r="N46">
        <v>1100.3599999999999</v>
      </c>
    </row>
    <row r="47" spans="1:14" x14ac:dyDescent="0.35">
      <c r="A47" s="6" t="s">
        <v>217</v>
      </c>
      <c r="B47" s="7">
        <v>45332</v>
      </c>
      <c r="C47" s="6" t="s">
        <v>218</v>
      </c>
      <c r="D47" s="6" t="s">
        <v>41</v>
      </c>
      <c r="E47">
        <v>1</v>
      </c>
      <c r="F47">
        <v>317.25</v>
      </c>
      <c r="G47" s="6" t="s">
        <v>219</v>
      </c>
      <c r="H47" s="6" t="s">
        <v>18</v>
      </c>
      <c r="I47" s="6" t="s">
        <v>43</v>
      </c>
      <c r="J47" s="6" t="s">
        <v>220</v>
      </c>
      <c r="K47">
        <v>1</v>
      </c>
      <c r="L47" s="6" t="s">
        <v>21</v>
      </c>
      <c r="M47" s="6" t="s">
        <v>45</v>
      </c>
      <c r="N47">
        <v>317.25</v>
      </c>
    </row>
    <row r="48" spans="1:14" x14ac:dyDescent="0.35">
      <c r="A48" s="6" t="s">
        <v>221</v>
      </c>
      <c r="B48" s="7">
        <v>45469</v>
      </c>
      <c r="C48" s="6" t="s">
        <v>222</v>
      </c>
      <c r="D48" s="6" t="s">
        <v>16</v>
      </c>
      <c r="E48">
        <v>4</v>
      </c>
      <c r="F48">
        <v>550.14</v>
      </c>
      <c r="G48" s="6" t="s">
        <v>223</v>
      </c>
      <c r="H48" s="6" t="s">
        <v>18</v>
      </c>
      <c r="I48" s="6" t="s">
        <v>89</v>
      </c>
      <c r="J48" s="6" t="s">
        <v>224</v>
      </c>
      <c r="K48">
        <v>4</v>
      </c>
      <c r="L48" s="6" t="s">
        <v>37</v>
      </c>
      <c r="M48" s="6" t="s">
        <v>22</v>
      </c>
      <c r="N48">
        <v>2200.56</v>
      </c>
    </row>
    <row r="49" spans="1:14" x14ac:dyDescent="0.35">
      <c r="A49" s="6" t="s">
        <v>225</v>
      </c>
      <c r="B49" s="7">
        <v>45126</v>
      </c>
      <c r="C49" s="6" t="s">
        <v>226</v>
      </c>
      <c r="D49" s="6" t="s">
        <v>73</v>
      </c>
      <c r="E49">
        <v>2</v>
      </c>
      <c r="F49">
        <v>209.94</v>
      </c>
      <c r="G49" s="6" t="s">
        <v>227</v>
      </c>
      <c r="H49" s="6" t="s">
        <v>34</v>
      </c>
      <c r="I49" s="6" t="s">
        <v>43</v>
      </c>
      <c r="J49" s="6" t="s">
        <v>228</v>
      </c>
      <c r="K49">
        <v>3</v>
      </c>
      <c r="L49" s="6" t="s">
        <v>37</v>
      </c>
      <c r="M49" s="6" t="s">
        <v>38</v>
      </c>
      <c r="N49">
        <v>419.88</v>
      </c>
    </row>
    <row r="50" spans="1:14" x14ac:dyDescent="0.35">
      <c r="A50" s="6" t="s">
        <v>229</v>
      </c>
      <c r="B50" s="7">
        <v>45164</v>
      </c>
      <c r="C50" s="6" t="s">
        <v>230</v>
      </c>
      <c r="D50" s="6" t="s">
        <v>16</v>
      </c>
      <c r="E50">
        <v>2</v>
      </c>
      <c r="F50">
        <v>80.77</v>
      </c>
      <c r="G50" s="6" t="s">
        <v>231</v>
      </c>
      <c r="H50" s="6" t="s">
        <v>18</v>
      </c>
      <c r="I50" s="6" t="s">
        <v>19</v>
      </c>
      <c r="J50" s="6" t="s">
        <v>232</v>
      </c>
      <c r="K50">
        <v>4</v>
      </c>
      <c r="L50" s="6" t="s">
        <v>4283</v>
      </c>
      <c r="M50" s="6" t="s">
        <v>76</v>
      </c>
      <c r="N50">
        <v>161.54</v>
      </c>
    </row>
    <row r="51" spans="1:14" x14ac:dyDescent="0.35">
      <c r="A51" s="6" t="s">
        <v>233</v>
      </c>
      <c r="B51" s="7">
        <v>45206</v>
      </c>
      <c r="C51" s="6" t="s">
        <v>234</v>
      </c>
      <c r="D51" s="6" t="s">
        <v>48</v>
      </c>
      <c r="E51">
        <v>1</v>
      </c>
      <c r="F51">
        <v>30.44</v>
      </c>
      <c r="G51" s="6" t="s">
        <v>129</v>
      </c>
      <c r="H51" s="6" t="s">
        <v>34</v>
      </c>
      <c r="I51" s="6" t="s">
        <v>19</v>
      </c>
      <c r="J51" s="6" t="s">
        <v>235</v>
      </c>
      <c r="K51">
        <v>1</v>
      </c>
      <c r="L51" s="6" t="s">
        <v>21</v>
      </c>
      <c r="M51" s="6" t="s">
        <v>38</v>
      </c>
      <c r="N51">
        <v>30.44</v>
      </c>
    </row>
    <row r="52" spans="1:14" x14ac:dyDescent="0.35">
      <c r="A52" s="6" t="s">
        <v>236</v>
      </c>
      <c r="B52" s="7">
        <v>45138</v>
      </c>
      <c r="C52" s="6" t="s">
        <v>237</v>
      </c>
      <c r="D52" s="6" t="s">
        <v>32</v>
      </c>
      <c r="E52">
        <v>1</v>
      </c>
      <c r="F52">
        <v>179.22</v>
      </c>
      <c r="G52" s="6" t="s">
        <v>238</v>
      </c>
      <c r="H52" s="6" t="s">
        <v>27</v>
      </c>
      <c r="I52" s="6" t="s">
        <v>35</v>
      </c>
      <c r="J52" s="6" t="s">
        <v>239</v>
      </c>
      <c r="K52">
        <v>6</v>
      </c>
      <c r="L52" s="6" t="s">
        <v>37</v>
      </c>
      <c r="M52" s="6" t="s">
        <v>22</v>
      </c>
      <c r="N52">
        <v>179.22</v>
      </c>
    </row>
    <row r="53" spans="1:14" x14ac:dyDescent="0.35">
      <c r="A53" s="6" t="s">
        <v>240</v>
      </c>
      <c r="B53" s="7">
        <v>45656</v>
      </c>
      <c r="C53" s="6" t="s">
        <v>241</v>
      </c>
      <c r="D53" s="6" t="s">
        <v>32</v>
      </c>
      <c r="E53">
        <v>1</v>
      </c>
      <c r="F53">
        <v>388.33</v>
      </c>
      <c r="G53" s="6" t="s">
        <v>242</v>
      </c>
      <c r="H53" s="6" t="s">
        <v>65</v>
      </c>
      <c r="I53" s="6" t="s">
        <v>43</v>
      </c>
      <c r="J53" s="6" t="s">
        <v>243</v>
      </c>
      <c r="K53">
        <v>2</v>
      </c>
      <c r="L53" s="6" t="s">
        <v>21</v>
      </c>
      <c r="M53" s="6" t="s">
        <v>45</v>
      </c>
      <c r="N53">
        <v>388.33</v>
      </c>
    </row>
    <row r="54" spans="1:14" x14ac:dyDescent="0.35">
      <c r="A54" s="6" t="s">
        <v>244</v>
      </c>
      <c r="B54" s="7">
        <v>45543</v>
      </c>
      <c r="C54" s="6" t="s">
        <v>245</v>
      </c>
      <c r="D54" s="6" t="s">
        <v>32</v>
      </c>
      <c r="E54">
        <v>1</v>
      </c>
      <c r="F54">
        <v>586.44000000000005</v>
      </c>
      <c r="G54" s="6" t="s">
        <v>246</v>
      </c>
      <c r="H54" s="6" t="s">
        <v>27</v>
      </c>
      <c r="I54" s="6" t="s">
        <v>43</v>
      </c>
      <c r="J54" s="6" t="s">
        <v>247</v>
      </c>
      <c r="K54">
        <v>5</v>
      </c>
      <c r="L54" s="6" t="s">
        <v>21</v>
      </c>
      <c r="M54" s="6" t="s">
        <v>45</v>
      </c>
      <c r="N54">
        <v>586.44000000000005</v>
      </c>
    </row>
    <row r="55" spans="1:14" x14ac:dyDescent="0.35">
      <c r="A55" s="6" t="s">
        <v>248</v>
      </c>
      <c r="B55" s="7">
        <v>45430</v>
      </c>
      <c r="C55" s="6" t="s">
        <v>249</v>
      </c>
      <c r="D55" s="6" t="s">
        <v>25</v>
      </c>
      <c r="E55">
        <v>4</v>
      </c>
      <c r="F55">
        <v>488.78</v>
      </c>
      <c r="G55" s="6" t="s">
        <v>33</v>
      </c>
      <c r="H55" s="6" t="s">
        <v>27</v>
      </c>
      <c r="I55" s="6" t="s">
        <v>43</v>
      </c>
      <c r="J55" s="6" t="s">
        <v>250</v>
      </c>
      <c r="K55">
        <v>5</v>
      </c>
      <c r="L55" s="6" t="s">
        <v>37</v>
      </c>
      <c r="M55" s="6" t="s">
        <v>76</v>
      </c>
      <c r="N55">
        <v>1955.12</v>
      </c>
    </row>
    <row r="56" spans="1:14" x14ac:dyDescent="0.35">
      <c r="A56" s="6" t="s">
        <v>251</v>
      </c>
      <c r="B56" s="7">
        <v>45743</v>
      </c>
      <c r="C56" s="6" t="s">
        <v>252</v>
      </c>
      <c r="D56" s="6" t="s">
        <v>41</v>
      </c>
      <c r="E56">
        <v>1</v>
      </c>
      <c r="F56">
        <v>280.25</v>
      </c>
      <c r="G56" s="6" t="s">
        <v>253</v>
      </c>
      <c r="H56" s="6" t="s">
        <v>27</v>
      </c>
      <c r="I56" s="6" t="s">
        <v>89</v>
      </c>
      <c r="J56" s="6" t="s">
        <v>254</v>
      </c>
      <c r="K56">
        <v>5</v>
      </c>
      <c r="L56" s="6" t="s">
        <v>81</v>
      </c>
      <c r="M56" s="6" t="s">
        <v>38</v>
      </c>
      <c r="N56">
        <v>280.25</v>
      </c>
    </row>
    <row r="57" spans="1:14" x14ac:dyDescent="0.35">
      <c r="A57" s="6" t="s">
        <v>255</v>
      </c>
      <c r="B57" s="7">
        <v>45832</v>
      </c>
      <c r="C57" s="6" t="s">
        <v>256</v>
      </c>
      <c r="D57" s="6" t="s">
        <v>48</v>
      </c>
      <c r="E57">
        <v>3</v>
      </c>
      <c r="F57">
        <v>344.4</v>
      </c>
      <c r="G57" s="6" t="s">
        <v>257</v>
      </c>
      <c r="H57" s="6" t="s">
        <v>27</v>
      </c>
      <c r="I57" s="6" t="s">
        <v>35</v>
      </c>
      <c r="J57" s="6" t="s">
        <v>258</v>
      </c>
      <c r="K57">
        <v>3</v>
      </c>
      <c r="L57" s="6" t="s">
        <v>4283</v>
      </c>
      <c r="M57" s="6" t="s">
        <v>45</v>
      </c>
      <c r="N57">
        <v>1033.2</v>
      </c>
    </row>
    <row r="58" spans="1:14" x14ac:dyDescent="0.35">
      <c r="A58" s="6" t="s">
        <v>259</v>
      </c>
      <c r="B58" s="7">
        <v>45067</v>
      </c>
      <c r="C58" s="6" t="s">
        <v>260</v>
      </c>
      <c r="D58" s="6" t="s">
        <v>32</v>
      </c>
      <c r="E58">
        <v>3</v>
      </c>
      <c r="F58">
        <v>479.21</v>
      </c>
      <c r="G58" s="6" t="s">
        <v>261</v>
      </c>
      <c r="H58" s="6" t="s">
        <v>65</v>
      </c>
      <c r="I58" s="6" t="s">
        <v>35</v>
      </c>
      <c r="J58" s="6" t="s">
        <v>262</v>
      </c>
      <c r="K58">
        <v>5</v>
      </c>
      <c r="L58" s="6" t="s">
        <v>81</v>
      </c>
      <c r="M58" s="6" t="s">
        <v>29</v>
      </c>
      <c r="N58">
        <v>1437.63</v>
      </c>
    </row>
    <row r="59" spans="1:14" x14ac:dyDescent="0.35">
      <c r="A59" s="6" t="s">
        <v>263</v>
      </c>
      <c r="B59" s="7">
        <v>44948</v>
      </c>
      <c r="C59" s="6" t="s">
        <v>264</v>
      </c>
      <c r="D59" s="6" t="s">
        <v>48</v>
      </c>
      <c r="E59">
        <v>5</v>
      </c>
      <c r="F59">
        <v>314.27</v>
      </c>
      <c r="G59" s="6" t="s">
        <v>265</v>
      </c>
      <c r="H59" s="6" t="s">
        <v>65</v>
      </c>
      <c r="I59" s="6" t="s">
        <v>43</v>
      </c>
      <c r="J59" s="6" t="s">
        <v>266</v>
      </c>
      <c r="K59">
        <v>6</v>
      </c>
      <c r="L59" s="6" t="s">
        <v>21</v>
      </c>
      <c r="M59" s="6" t="s">
        <v>22</v>
      </c>
      <c r="N59">
        <v>1571.35</v>
      </c>
    </row>
    <row r="60" spans="1:14" x14ac:dyDescent="0.35">
      <c r="A60" s="6" t="s">
        <v>267</v>
      </c>
      <c r="B60" s="7">
        <v>44941</v>
      </c>
      <c r="C60" s="6" t="s">
        <v>268</v>
      </c>
      <c r="D60" s="6" t="s">
        <v>25</v>
      </c>
      <c r="E60">
        <v>4</v>
      </c>
      <c r="F60">
        <v>474.69</v>
      </c>
      <c r="G60" s="6" t="s">
        <v>269</v>
      </c>
      <c r="H60" s="6" t="s">
        <v>60</v>
      </c>
      <c r="I60" s="6" t="s">
        <v>35</v>
      </c>
      <c r="J60" s="6" t="s">
        <v>270</v>
      </c>
      <c r="K60">
        <v>6</v>
      </c>
      <c r="L60" s="6" t="s">
        <v>21</v>
      </c>
      <c r="M60" s="6" t="s">
        <v>76</v>
      </c>
      <c r="N60">
        <v>1898.76</v>
      </c>
    </row>
    <row r="61" spans="1:14" x14ac:dyDescent="0.35">
      <c r="A61" s="6" t="s">
        <v>271</v>
      </c>
      <c r="B61" s="7">
        <v>45546</v>
      </c>
      <c r="C61" s="6" t="s">
        <v>272</v>
      </c>
      <c r="D61" s="6" t="s">
        <v>41</v>
      </c>
      <c r="E61">
        <v>4</v>
      </c>
      <c r="F61">
        <v>593.27</v>
      </c>
      <c r="G61" s="6" t="s">
        <v>273</v>
      </c>
      <c r="H61" s="6" t="s">
        <v>27</v>
      </c>
      <c r="I61" s="6" t="s">
        <v>19</v>
      </c>
      <c r="J61" s="6" t="s">
        <v>274</v>
      </c>
      <c r="K61">
        <v>5</v>
      </c>
      <c r="L61" s="6" t="s">
        <v>4283</v>
      </c>
      <c r="M61" s="6" t="s">
        <v>45</v>
      </c>
      <c r="N61">
        <v>2373.08</v>
      </c>
    </row>
    <row r="62" spans="1:14" x14ac:dyDescent="0.35">
      <c r="A62" s="6" t="s">
        <v>275</v>
      </c>
      <c r="B62" s="7">
        <v>45525</v>
      </c>
      <c r="C62" s="6" t="s">
        <v>276</v>
      </c>
      <c r="D62" s="6" t="s">
        <v>73</v>
      </c>
      <c r="E62">
        <v>1</v>
      </c>
      <c r="F62">
        <v>417.1</v>
      </c>
      <c r="G62" s="6" t="s">
        <v>277</v>
      </c>
      <c r="H62" s="6" t="s">
        <v>18</v>
      </c>
      <c r="I62" s="6" t="s">
        <v>43</v>
      </c>
      <c r="J62" s="6" t="s">
        <v>278</v>
      </c>
      <c r="K62">
        <v>3</v>
      </c>
      <c r="L62" s="6" t="s">
        <v>37</v>
      </c>
      <c r="M62" s="6" t="s">
        <v>29</v>
      </c>
      <c r="N62">
        <v>417.1</v>
      </c>
    </row>
    <row r="63" spans="1:14" x14ac:dyDescent="0.35">
      <c r="A63" s="6" t="s">
        <v>279</v>
      </c>
      <c r="B63" s="7">
        <v>45375</v>
      </c>
      <c r="C63" s="6" t="s">
        <v>280</v>
      </c>
      <c r="D63" s="6" t="s">
        <v>73</v>
      </c>
      <c r="E63">
        <v>4</v>
      </c>
      <c r="F63">
        <v>122.2</v>
      </c>
      <c r="G63" s="6" t="s">
        <v>281</v>
      </c>
      <c r="H63" s="6" t="s">
        <v>65</v>
      </c>
      <c r="I63" s="6" t="s">
        <v>50</v>
      </c>
      <c r="J63" s="6" t="s">
        <v>282</v>
      </c>
      <c r="K63">
        <v>7</v>
      </c>
      <c r="L63" s="6" t="s">
        <v>37</v>
      </c>
      <c r="M63" s="6" t="s">
        <v>45</v>
      </c>
      <c r="N63">
        <v>488.8</v>
      </c>
    </row>
    <row r="64" spans="1:14" x14ac:dyDescent="0.35">
      <c r="A64" s="6" t="s">
        <v>283</v>
      </c>
      <c r="B64" s="7">
        <v>45160</v>
      </c>
      <c r="C64" s="6" t="s">
        <v>284</v>
      </c>
      <c r="D64" s="6" t="s">
        <v>73</v>
      </c>
      <c r="E64">
        <v>2</v>
      </c>
      <c r="F64">
        <v>43.15</v>
      </c>
      <c r="G64" s="6" t="s">
        <v>285</v>
      </c>
      <c r="H64" s="6" t="s">
        <v>18</v>
      </c>
      <c r="I64" s="6" t="s">
        <v>89</v>
      </c>
      <c r="J64" s="6" t="s">
        <v>286</v>
      </c>
      <c r="K64">
        <v>3</v>
      </c>
      <c r="L64" s="6" t="s">
        <v>81</v>
      </c>
      <c r="M64" s="6" t="s">
        <v>38</v>
      </c>
      <c r="N64">
        <v>86.3</v>
      </c>
    </row>
    <row r="65" spans="1:14" x14ac:dyDescent="0.35">
      <c r="A65" s="6" t="s">
        <v>287</v>
      </c>
      <c r="B65" s="7">
        <v>45690</v>
      </c>
      <c r="C65" s="6" t="s">
        <v>288</v>
      </c>
      <c r="D65" s="6" t="s">
        <v>41</v>
      </c>
      <c r="E65">
        <v>1</v>
      </c>
      <c r="F65">
        <v>564.86</v>
      </c>
      <c r="G65" s="6" t="s">
        <v>289</v>
      </c>
      <c r="H65" s="6" t="s">
        <v>18</v>
      </c>
      <c r="I65" s="6" t="s">
        <v>19</v>
      </c>
      <c r="J65" s="6" t="s">
        <v>290</v>
      </c>
      <c r="K65">
        <v>6</v>
      </c>
      <c r="L65" s="6" t="s">
        <v>81</v>
      </c>
      <c r="M65" s="6" t="s">
        <v>29</v>
      </c>
      <c r="N65">
        <v>564.86</v>
      </c>
    </row>
    <row r="66" spans="1:14" x14ac:dyDescent="0.35">
      <c r="A66" s="6" t="s">
        <v>291</v>
      </c>
      <c r="B66" s="7">
        <v>45833</v>
      </c>
      <c r="C66" s="6" t="s">
        <v>292</v>
      </c>
      <c r="D66" s="6" t="s">
        <v>48</v>
      </c>
      <c r="E66">
        <v>3</v>
      </c>
      <c r="F66">
        <v>130.61000000000001</v>
      </c>
      <c r="G66" s="6" t="s">
        <v>293</v>
      </c>
      <c r="H66" s="6" t="s">
        <v>18</v>
      </c>
      <c r="I66" s="6" t="s">
        <v>35</v>
      </c>
      <c r="J66" s="6" t="s">
        <v>294</v>
      </c>
      <c r="K66">
        <v>4</v>
      </c>
      <c r="L66" s="6" t="s">
        <v>37</v>
      </c>
      <c r="M66" s="6" t="s">
        <v>45</v>
      </c>
      <c r="N66">
        <v>391.83</v>
      </c>
    </row>
    <row r="67" spans="1:14" x14ac:dyDescent="0.35">
      <c r="A67" s="6" t="s">
        <v>295</v>
      </c>
      <c r="B67" s="7">
        <v>45290</v>
      </c>
      <c r="C67" s="6" t="s">
        <v>296</v>
      </c>
      <c r="D67" s="6" t="s">
        <v>16</v>
      </c>
      <c r="E67">
        <v>5</v>
      </c>
      <c r="F67">
        <v>81.7</v>
      </c>
      <c r="G67" s="6" t="s">
        <v>297</v>
      </c>
      <c r="H67" s="6" t="s">
        <v>34</v>
      </c>
      <c r="I67" s="6" t="s">
        <v>50</v>
      </c>
      <c r="J67" s="6" t="s">
        <v>298</v>
      </c>
      <c r="K67">
        <v>6</v>
      </c>
      <c r="L67" s="6" t="s">
        <v>4283</v>
      </c>
      <c r="M67" s="6" t="s">
        <v>22</v>
      </c>
      <c r="N67">
        <v>408.5</v>
      </c>
    </row>
    <row r="68" spans="1:14" x14ac:dyDescent="0.35">
      <c r="A68" s="6" t="s">
        <v>299</v>
      </c>
      <c r="B68" s="7">
        <v>45611</v>
      </c>
      <c r="C68" s="6" t="s">
        <v>300</v>
      </c>
      <c r="D68" s="6" t="s">
        <v>41</v>
      </c>
      <c r="E68">
        <v>5</v>
      </c>
      <c r="F68">
        <v>127.18</v>
      </c>
      <c r="G68" s="6" t="s">
        <v>301</v>
      </c>
      <c r="H68" s="6" t="s">
        <v>65</v>
      </c>
      <c r="I68" s="6" t="s">
        <v>35</v>
      </c>
      <c r="J68" s="6" t="s">
        <v>302</v>
      </c>
      <c r="K68">
        <v>9</v>
      </c>
      <c r="L68" s="6" t="s">
        <v>21</v>
      </c>
      <c r="M68" s="6" t="s">
        <v>29</v>
      </c>
      <c r="N68">
        <v>635.9</v>
      </c>
    </row>
    <row r="69" spans="1:14" x14ac:dyDescent="0.35">
      <c r="A69" s="6" t="s">
        <v>303</v>
      </c>
      <c r="B69" s="7">
        <v>45635</v>
      </c>
      <c r="C69" s="6" t="s">
        <v>304</v>
      </c>
      <c r="D69" s="6" t="s">
        <v>48</v>
      </c>
      <c r="E69">
        <v>4</v>
      </c>
      <c r="F69">
        <v>12.1</v>
      </c>
      <c r="G69" s="6" t="s">
        <v>305</v>
      </c>
      <c r="H69" s="6" t="s">
        <v>18</v>
      </c>
      <c r="I69" s="6" t="s">
        <v>35</v>
      </c>
      <c r="J69" s="6" t="s">
        <v>306</v>
      </c>
      <c r="K69">
        <v>8</v>
      </c>
      <c r="L69" s="6" t="s">
        <v>4283</v>
      </c>
      <c r="M69" s="6" t="s">
        <v>76</v>
      </c>
      <c r="N69">
        <v>48.4</v>
      </c>
    </row>
    <row r="70" spans="1:14" x14ac:dyDescent="0.35">
      <c r="A70" s="6" t="s">
        <v>307</v>
      </c>
      <c r="B70" s="7">
        <v>45271</v>
      </c>
      <c r="C70" s="6" t="s">
        <v>308</v>
      </c>
      <c r="D70" s="6" t="s">
        <v>41</v>
      </c>
      <c r="E70">
        <v>3</v>
      </c>
      <c r="F70">
        <v>490.92</v>
      </c>
      <c r="G70" s="6" t="s">
        <v>141</v>
      </c>
      <c r="H70" s="6" t="s">
        <v>34</v>
      </c>
      <c r="I70" s="6" t="s">
        <v>89</v>
      </c>
      <c r="J70" s="6" t="s">
        <v>309</v>
      </c>
      <c r="K70">
        <v>5</v>
      </c>
      <c r="L70" s="6" t="s">
        <v>37</v>
      </c>
      <c r="M70" s="6" t="s">
        <v>38</v>
      </c>
      <c r="N70">
        <v>1472.76</v>
      </c>
    </row>
    <row r="71" spans="1:14" x14ac:dyDescent="0.35">
      <c r="A71" s="6" t="s">
        <v>310</v>
      </c>
      <c r="B71" s="7">
        <v>45057</v>
      </c>
      <c r="C71" s="6" t="s">
        <v>311</v>
      </c>
      <c r="D71" s="6" t="s">
        <v>16</v>
      </c>
      <c r="E71">
        <v>3</v>
      </c>
      <c r="F71">
        <v>478.65</v>
      </c>
      <c r="G71" s="6" t="s">
        <v>312</v>
      </c>
      <c r="H71" s="6" t="s">
        <v>27</v>
      </c>
      <c r="I71" s="6" t="s">
        <v>19</v>
      </c>
      <c r="J71" s="6" t="s">
        <v>313</v>
      </c>
      <c r="K71">
        <v>4</v>
      </c>
      <c r="L71" s="6" t="s">
        <v>4283</v>
      </c>
      <c r="M71" s="6" t="s">
        <v>29</v>
      </c>
      <c r="N71">
        <v>1435.95</v>
      </c>
    </row>
    <row r="72" spans="1:14" x14ac:dyDescent="0.35">
      <c r="A72" s="6" t="s">
        <v>314</v>
      </c>
      <c r="B72" s="7">
        <v>45072</v>
      </c>
      <c r="C72" s="6" t="s">
        <v>315</v>
      </c>
      <c r="D72" s="6" t="s">
        <v>73</v>
      </c>
      <c r="E72">
        <v>1</v>
      </c>
      <c r="F72">
        <v>629.21</v>
      </c>
      <c r="G72" s="6" t="s">
        <v>316</v>
      </c>
      <c r="H72" s="6" t="s">
        <v>60</v>
      </c>
      <c r="I72" s="6" t="s">
        <v>89</v>
      </c>
      <c r="J72" s="6" t="s">
        <v>317</v>
      </c>
      <c r="K72">
        <v>2</v>
      </c>
      <c r="L72" s="6" t="s">
        <v>37</v>
      </c>
      <c r="M72" s="6" t="s">
        <v>22</v>
      </c>
      <c r="N72">
        <v>629.21</v>
      </c>
    </row>
    <row r="73" spans="1:14" x14ac:dyDescent="0.35">
      <c r="A73" s="6" t="s">
        <v>318</v>
      </c>
      <c r="B73" s="7">
        <v>45818</v>
      </c>
      <c r="C73" s="6" t="s">
        <v>319</v>
      </c>
      <c r="D73" s="6" t="s">
        <v>16</v>
      </c>
      <c r="E73">
        <v>3</v>
      </c>
      <c r="F73">
        <v>434.45</v>
      </c>
      <c r="G73" s="6" t="s">
        <v>320</v>
      </c>
      <c r="H73" s="6" t="s">
        <v>34</v>
      </c>
      <c r="I73" s="6" t="s">
        <v>89</v>
      </c>
      <c r="J73" s="6" t="s">
        <v>321</v>
      </c>
      <c r="K73">
        <v>4</v>
      </c>
      <c r="L73" s="6" t="s">
        <v>4283</v>
      </c>
      <c r="M73" s="6" t="s">
        <v>29</v>
      </c>
      <c r="N73">
        <v>1303.3499999999999</v>
      </c>
    </row>
    <row r="74" spans="1:14" x14ac:dyDescent="0.35">
      <c r="A74" s="6" t="s">
        <v>322</v>
      </c>
      <c r="B74" s="7">
        <v>45648</v>
      </c>
      <c r="C74" s="6" t="s">
        <v>323</v>
      </c>
      <c r="D74" s="6" t="s">
        <v>32</v>
      </c>
      <c r="E74">
        <v>4</v>
      </c>
      <c r="F74">
        <v>589.44000000000005</v>
      </c>
      <c r="G74" s="6" t="s">
        <v>101</v>
      </c>
      <c r="H74" s="6" t="s">
        <v>60</v>
      </c>
      <c r="I74" s="6" t="s">
        <v>43</v>
      </c>
      <c r="J74" s="6" t="s">
        <v>324</v>
      </c>
      <c r="K74">
        <v>5</v>
      </c>
      <c r="L74" s="6" t="s">
        <v>4283</v>
      </c>
      <c r="M74" s="6" t="s">
        <v>45</v>
      </c>
      <c r="N74">
        <v>2357.7600000000002</v>
      </c>
    </row>
    <row r="75" spans="1:14" x14ac:dyDescent="0.35">
      <c r="A75" s="6" t="s">
        <v>325</v>
      </c>
      <c r="B75" s="7">
        <v>45049</v>
      </c>
      <c r="C75" s="6" t="s">
        <v>326</v>
      </c>
      <c r="D75" s="6" t="s">
        <v>16</v>
      </c>
      <c r="E75">
        <v>4</v>
      </c>
      <c r="F75">
        <v>433.45</v>
      </c>
      <c r="G75" s="6" t="s">
        <v>327</v>
      </c>
      <c r="H75" s="6" t="s">
        <v>60</v>
      </c>
      <c r="I75" s="6" t="s">
        <v>35</v>
      </c>
      <c r="J75" s="6" t="s">
        <v>328</v>
      </c>
      <c r="K75">
        <v>4</v>
      </c>
      <c r="L75" s="6" t="s">
        <v>4283</v>
      </c>
      <c r="M75" s="6" t="s">
        <v>45</v>
      </c>
      <c r="N75">
        <v>1733.8</v>
      </c>
    </row>
    <row r="76" spans="1:14" x14ac:dyDescent="0.35">
      <c r="A76" s="6" t="s">
        <v>329</v>
      </c>
      <c r="B76" s="7">
        <v>45101</v>
      </c>
      <c r="C76" s="6" t="s">
        <v>330</v>
      </c>
      <c r="D76" s="6" t="s">
        <v>25</v>
      </c>
      <c r="E76">
        <v>5</v>
      </c>
      <c r="F76">
        <v>90.87</v>
      </c>
      <c r="G76" s="6" t="s">
        <v>331</v>
      </c>
      <c r="H76" s="6" t="s">
        <v>65</v>
      </c>
      <c r="I76" s="6" t="s">
        <v>89</v>
      </c>
      <c r="J76" s="6" t="s">
        <v>332</v>
      </c>
      <c r="K76">
        <v>5</v>
      </c>
      <c r="L76" s="6" t="s">
        <v>4283</v>
      </c>
      <c r="M76" s="6" t="s">
        <v>22</v>
      </c>
      <c r="N76">
        <v>454.35</v>
      </c>
    </row>
    <row r="77" spans="1:14" x14ac:dyDescent="0.35">
      <c r="A77" s="6" t="s">
        <v>333</v>
      </c>
      <c r="B77" s="7">
        <v>45195</v>
      </c>
      <c r="C77" s="6" t="s">
        <v>334</v>
      </c>
      <c r="D77" s="6" t="s">
        <v>32</v>
      </c>
      <c r="E77">
        <v>3</v>
      </c>
      <c r="F77">
        <v>398.17</v>
      </c>
      <c r="G77" s="6" t="s">
        <v>335</v>
      </c>
      <c r="H77" s="6" t="s">
        <v>18</v>
      </c>
      <c r="I77" s="6" t="s">
        <v>50</v>
      </c>
      <c r="J77" s="6" t="s">
        <v>336</v>
      </c>
      <c r="K77">
        <v>5</v>
      </c>
      <c r="L77" s="6" t="s">
        <v>21</v>
      </c>
      <c r="M77" s="6" t="s">
        <v>38</v>
      </c>
      <c r="N77">
        <v>1194.51</v>
      </c>
    </row>
    <row r="78" spans="1:14" x14ac:dyDescent="0.35">
      <c r="A78" s="6" t="s">
        <v>337</v>
      </c>
      <c r="B78" s="7">
        <v>45382</v>
      </c>
      <c r="C78" s="6" t="s">
        <v>338</v>
      </c>
      <c r="D78" s="6" t="s">
        <v>58</v>
      </c>
      <c r="E78">
        <v>4</v>
      </c>
      <c r="F78">
        <v>382.88</v>
      </c>
      <c r="G78" s="6" t="s">
        <v>339</v>
      </c>
      <c r="H78" s="6" t="s">
        <v>65</v>
      </c>
      <c r="I78" s="6" t="s">
        <v>35</v>
      </c>
      <c r="J78" s="6" t="s">
        <v>340</v>
      </c>
      <c r="K78">
        <v>6</v>
      </c>
      <c r="L78" s="6" t="s">
        <v>81</v>
      </c>
      <c r="M78" s="6" t="s">
        <v>38</v>
      </c>
      <c r="N78">
        <v>1531.52</v>
      </c>
    </row>
    <row r="79" spans="1:14" x14ac:dyDescent="0.35">
      <c r="A79" s="6" t="s">
        <v>341</v>
      </c>
      <c r="B79" s="7">
        <v>45436</v>
      </c>
      <c r="C79" s="6" t="s">
        <v>342</v>
      </c>
      <c r="D79" s="6" t="s">
        <v>25</v>
      </c>
      <c r="E79">
        <v>1</v>
      </c>
      <c r="F79">
        <v>583.17999999999995</v>
      </c>
      <c r="G79" s="6" t="s">
        <v>343</v>
      </c>
      <c r="H79" s="6" t="s">
        <v>34</v>
      </c>
      <c r="I79" s="6" t="s">
        <v>43</v>
      </c>
      <c r="J79" s="6" t="s">
        <v>344</v>
      </c>
      <c r="K79">
        <v>5</v>
      </c>
      <c r="L79" s="6" t="s">
        <v>4283</v>
      </c>
      <c r="M79" s="6" t="s">
        <v>76</v>
      </c>
      <c r="N79">
        <v>583.17999999999995</v>
      </c>
    </row>
    <row r="80" spans="1:14" x14ac:dyDescent="0.35">
      <c r="A80" s="6" t="s">
        <v>345</v>
      </c>
      <c r="B80" s="7">
        <v>45510</v>
      </c>
      <c r="C80" s="6" t="s">
        <v>346</v>
      </c>
      <c r="D80" s="6" t="s">
        <v>48</v>
      </c>
      <c r="E80">
        <v>4</v>
      </c>
      <c r="F80">
        <v>175.36</v>
      </c>
      <c r="G80" s="6" t="s">
        <v>347</v>
      </c>
      <c r="H80" s="6" t="s">
        <v>18</v>
      </c>
      <c r="I80" s="6" t="s">
        <v>50</v>
      </c>
      <c r="J80" s="6" t="s">
        <v>348</v>
      </c>
      <c r="K80">
        <v>4</v>
      </c>
      <c r="L80" s="6" t="s">
        <v>37</v>
      </c>
      <c r="M80" s="6" t="s">
        <v>22</v>
      </c>
      <c r="N80">
        <v>701.44</v>
      </c>
    </row>
    <row r="81" spans="1:14" x14ac:dyDescent="0.35">
      <c r="A81" s="6" t="s">
        <v>349</v>
      </c>
      <c r="B81" s="7">
        <v>45726</v>
      </c>
      <c r="C81" s="6" t="s">
        <v>350</v>
      </c>
      <c r="D81" s="6" t="s">
        <v>32</v>
      </c>
      <c r="E81">
        <v>2</v>
      </c>
      <c r="F81">
        <v>311.91000000000003</v>
      </c>
      <c r="G81" s="6" t="s">
        <v>351</v>
      </c>
      <c r="H81" s="6" t="s">
        <v>27</v>
      </c>
      <c r="I81" s="6" t="s">
        <v>19</v>
      </c>
      <c r="J81" s="6" t="s">
        <v>352</v>
      </c>
      <c r="K81">
        <v>2</v>
      </c>
      <c r="L81" s="6" t="s">
        <v>4283</v>
      </c>
      <c r="M81" s="6" t="s">
        <v>45</v>
      </c>
      <c r="N81">
        <v>623.82000000000005</v>
      </c>
    </row>
    <row r="82" spans="1:14" x14ac:dyDescent="0.35">
      <c r="A82" s="6" t="s">
        <v>353</v>
      </c>
      <c r="B82" s="7">
        <v>45104</v>
      </c>
      <c r="C82" s="6" t="s">
        <v>354</v>
      </c>
      <c r="D82" s="6" t="s">
        <v>25</v>
      </c>
      <c r="E82">
        <v>3</v>
      </c>
      <c r="F82">
        <v>589.55999999999995</v>
      </c>
      <c r="G82" s="6" t="s">
        <v>355</v>
      </c>
      <c r="H82" s="6" t="s">
        <v>27</v>
      </c>
      <c r="I82" s="6" t="s">
        <v>43</v>
      </c>
      <c r="J82" s="6" t="s">
        <v>356</v>
      </c>
      <c r="K82">
        <v>6</v>
      </c>
      <c r="L82" s="6" t="s">
        <v>4283</v>
      </c>
      <c r="M82" s="6" t="s">
        <v>45</v>
      </c>
      <c r="N82">
        <v>1768.68</v>
      </c>
    </row>
    <row r="83" spans="1:14" x14ac:dyDescent="0.35">
      <c r="A83" s="6" t="s">
        <v>357</v>
      </c>
      <c r="B83" s="7">
        <v>45085</v>
      </c>
      <c r="C83" s="6" t="s">
        <v>358</v>
      </c>
      <c r="D83" s="6" t="s">
        <v>16</v>
      </c>
      <c r="E83">
        <v>2</v>
      </c>
      <c r="F83">
        <v>394.3</v>
      </c>
      <c r="G83" s="6" t="s">
        <v>359</v>
      </c>
      <c r="H83" s="6" t="s">
        <v>65</v>
      </c>
      <c r="I83" s="6" t="s">
        <v>19</v>
      </c>
      <c r="J83" s="6" t="s">
        <v>360</v>
      </c>
      <c r="K83">
        <v>6</v>
      </c>
      <c r="L83" s="6" t="s">
        <v>37</v>
      </c>
      <c r="M83" s="6" t="s">
        <v>38</v>
      </c>
      <c r="N83">
        <v>788.6</v>
      </c>
    </row>
    <row r="84" spans="1:14" x14ac:dyDescent="0.35">
      <c r="A84" s="6" t="s">
        <v>361</v>
      </c>
      <c r="B84" s="7">
        <v>45296</v>
      </c>
      <c r="C84" s="6" t="s">
        <v>362</v>
      </c>
      <c r="D84" s="6" t="s">
        <v>32</v>
      </c>
      <c r="E84">
        <v>4</v>
      </c>
      <c r="F84">
        <v>565.20000000000005</v>
      </c>
      <c r="G84" s="6" t="s">
        <v>363</v>
      </c>
      <c r="H84" s="6" t="s">
        <v>18</v>
      </c>
      <c r="I84" s="6" t="s">
        <v>19</v>
      </c>
      <c r="J84" s="6" t="s">
        <v>364</v>
      </c>
      <c r="K84">
        <v>9</v>
      </c>
      <c r="L84" s="6" t="s">
        <v>21</v>
      </c>
      <c r="M84" s="6" t="s">
        <v>76</v>
      </c>
      <c r="N84">
        <v>2260.8000000000002</v>
      </c>
    </row>
    <row r="85" spans="1:14" x14ac:dyDescent="0.35">
      <c r="A85" s="6" t="s">
        <v>365</v>
      </c>
      <c r="B85" s="7">
        <v>45160</v>
      </c>
      <c r="C85" s="6" t="s">
        <v>366</v>
      </c>
      <c r="D85" s="6" t="s">
        <v>58</v>
      </c>
      <c r="E85">
        <v>4</v>
      </c>
      <c r="F85">
        <v>540.41</v>
      </c>
      <c r="G85" s="6" t="s">
        <v>367</v>
      </c>
      <c r="H85" s="6" t="s">
        <v>34</v>
      </c>
      <c r="I85" s="6" t="s">
        <v>35</v>
      </c>
      <c r="J85" s="6" t="s">
        <v>368</v>
      </c>
      <c r="K85">
        <v>6</v>
      </c>
      <c r="L85" s="6" t="s">
        <v>4283</v>
      </c>
      <c r="M85" s="6" t="s">
        <v>29</v>
      </c>
      <c r="N85">
        <v>2161.64</v>
      </c>
    </row>
    <row r="86" spans="1:14" x14ac:dyDescent="0.35">
      <c r="A86" s="6" t="s">
        <v>369</v>
      </c>
      <c r="B86" s="7">
        <v>45166</v>
      </c>
      <c r="C86" s="6" t="s">
        <v>370</v>
      </c>
      <c r="D86" s="6" t="s">
        <v>16</v>
      </c>
      <c r="E86">
        <v>2</v>
      </c>
      <c r="F86">
        <v>165.49</v>
      </c>
      <c r="G86" s="6" t="s">
        <v>371</v>
      </c>
      <c r="H86" s="6" t="s">
        <v>27</v>
      </c>
      <c r="I86" s="6" t="s">
        <v>19</v>
      </c>
      <c r="J86" s="6" t="s">
        <v>372</v>
      </c>
      <c r="K86">
        <v>4</v>
      </c>
      <c r="L86" s="6" t="s">
        <v>81</v>
      </c>
      <c r="M86" s="6" t="s">
        <v>22</v>
      </c>
      <c r="N86">
        <v>330.98</v>
      </c>
    </row>
    <row r="87" spans="1:14" x14ac:dyDescent="0.35">
      <c r="A87" s="6" t="s">
        <v>373</v>
      </c>
      <c r="B87" s="7">
        <v>45544</v>
      </c>
      <c r="C87" s="6" t="s">
        <v>374</v>
      </c>
      <c r="D87" s="6" t="s">
        <v>32</v>
      </c>
      <c r="E87">
        <v>3</v>
      </c>
      <c r="F87">
        <v>146.72999999999999</v>
      </c>
      <c r="G87" s="6" t="s">
        <v>375</v>
      </c>
      <c r="H87" s="6" t="s">
        <v>65</v>
      </c>
      <c r="I87" s="6" t="s">
        <v>50</v>
      </c>
      <c r="J87" s="6" t="s">
        <v>376</v>
      </c>
      <c r="K87">
        <v>8</v>
      </c>
      <c r="L87" s="6" t="s">
        <v>37</v>
      </c>
      <c r="M87" s="6" t="s">
        <v>38</v>
      </c>
      <c r="N87">
        <v>440.19</v>
      </c>
    </row>
    <row r="88" spans="1:14" x14ac:dyDescent="0.35">
      <c r="A88" s="6" t="s">
        <v>377</v>
      </c>
      <c r="B88" s="7">
        <v>45462</v>
      </c>
      <c r="C88" s="6" t="s">
        <v>378</v>
      </c>
      <c r="D88" s="6" t="s">
        <v>48</v>
      </c>
      <c r="E88">
        <v>5</v>
      </c>
      <c r="F88">
        <v>643.03</v>
      </c>
      <c r="G88" s="6" t="s">
        <v>379</v>
      </c>
      <c r="H88" s="6" t="s">
        <v>27</v>
      </c>
      <c r="I88" s="6" t="s">
        <v>35</v>
      </c>
      <c r="J88" s="6" t="s">
        <v>380</v>
      </c>
      <c r="K88">
        <v>5</v>
      </c>
      <c r="L88" s="6" t="s">
        <v>37</v>
      </c>
      <c r="M88" s="6" t="s">
        <v>29</v>
      </c>
      <c r="N88">
        <v>3215.15</v>
      </c>
    </row>
    <row r="89" spans="1:14" x14ac:dyDescent="0.35">
      <c r="A89" s="6" t="s">
        <v>381</v>
      </c>
      <c r="B89" s="7">
        <v>45575</v>
      </c>
      <c r="C89" s="6" t="s">
        <v>382</v>
      </c>
      <c r="D89" s="6" t="s">
        <v>32</v>
      </c>
      <c r="E89">
        <v>3</v>
      </c>
      <c r="F89">
        <v>225.11</v>
      </c>
      <c r="G89" s="6" t="s">
        <v>383</v>
      </c>
      <c r="H89" s="6" t="s">
        <v>65</v>
      </c>
      <c r="I89" s="6" t="s">
        <v>19</v>
      </c>
      <c r="J89" s="6" t="s">
        <v>384</v>
      </c>
      <c r="K89">
        <v>4</v>
      </c>
      <c r="L89" s="6" t="s">
        <v>21</v>
      </c>
      <c r="M89" s="6" t="s">
        <v>45</v>
      </c>
      <c r="N89">
        <v>675.33</v>
      </c>
    </row>
    <row r="90" spans="1:14" x14ac:dyDescent="0.35">
      <c r="A90" s="6" t="s">
        <v>385</v>
      </c>
      <c r="B90" s="7">
        <v>45813</v>
      </c>
      <c r="C90" s="6" t="s">
        <v>386</v>
      </c>
      <c r="D90" s="6" t="s">
        <v>73</v>
      </c>
      <c r="E90">
        <v>3</v>
      </c>
      <c r="F90">
        <v>114.81</v>
      </c>
      <c r="G90" s="6" t="s">
        <v>387</v>
      </c>
      <c r="H90" s="6" t="s">
        <v>60</v>
      </c>
      <c r="I90" s="6" t="s">
        <v>35</v>
      </c>
      <c r="J90" s="6" t="s">
        <v>388</v>
      </c>
      <c r="K90">
        <v>7</v>
      </c>
      <c r="L90" s="6" t="s">
        <v>4283</v>
      </c>
      <c r="M90" s="6" t="s">
        <v>76</v>
      </c>
      <c r="N90">
        <v>344.43</v>
      </c>
    </row>
    <row r="91" spans="1:14" x14ac:dyDescent="0.35">
      <c r="A91" s="6" t="s">
        <v>389</v>
      </c>
      <c r="B91" s="7">
        <v>45713</v>
      </c>
      <c r="C91" s="6" t="s">
        <v>390</v>
      </c>
      <c r="D91" s="6" t="s">
        <v>48</v>
      </c>
      <c r="E91">
        <v>5</v>
      </c>
      <c r="F91">
        <v>455.33</v>
      </c>
      <c r="G91" s="6" t="s">
        <v>391</v>
      </c>
      <c r="H91" s="6" t="s">
        <v>34</v>
      </c>
      <c r="I91" s="6" t="s">
        <v>35</v>
      </c>
      <c r="J91" s="6" t="s">
        <v>392</v>
      </c>
      <c r="K91">
        <v>8</v>
      </c>
      <c r="L91" s="6" t="s">
        <v>37</v>
      </c>
      <c r="M91" s="6" t="s">
        <v>76</v>
      </c>
      <c r="N91">
        <v>2276.65</v>
      </c>
    </row>
    <row r="92" spans="1:14" x14ac:dyDescent="0.35">
      <c r="A92" s="6" t="s">
        <v>393</v>
      </c>
      <c r="B92" s="7">
        <v>45187</v>
      </c>
      <c r="C92" s="6" t="s">
        <v>394</v>
      </c>
      <c r="D92" s="6" t="s">
        <v>41</v>
      </c>
      <c r="E92">
        <v>4</v>
      </c>
      <c r="F92">
        <v>182.08</v>
      </c>
      <c r="G92" s="6" t="s">
        <v>395</v>
      </c>
      <c r="H92" s="6" t="s">
        <v>60</v>
      </c>
      <c r="I92" s="6" t="s">
        <v>50</v>
      </c>
      <c r="J92" s="6" t="s">
        <v>396</v>
      </c>
      <c r="K92">
        <v>4</v>
      </c>
      <c r="L92" s="6" t="s">
        <v>21</v>
      </c>
      <c r="M92" s="6" t="s">
        <v>38</v>
      </c>
      <c r="N92">
        <v>728.32</v>
      </c>
    </row>
    <row r="93" spans="1:14" x14ac:dyDescent="0.35">
      <c r="A93" s="6" t="s">
        <v>397</v>
      </c>
      <c r="B93" s="7">
        <v>45000</v>
      </c>
      <c r="C93" s="6" t="s">
        <v>398</v>
      </c>
      <c r="D93" s="6" t="s">
        <v>58</v>
      </c>
      <c r="E93">
        <v>5</v>
      </c>
      <c r="F93">
        <v>492.75</v>
      </c>
      <c r="G93" s="6" t="s">
        <v>399</v>
      </c>
      <c r="H93" s="6" t="s">
        <v>65</v>
      </c>
      <c r="I93" s="6" t="s">
        <v>19</v>
      </c>
      <c r="J93" s="6" t="s">
        <v>400</v>
      </c>
      <c r="K93">
        <v>6</v>
      </c>
      <c r="L93" s="6" t="s">
        <v>81</v>
      </c>
      <c r="M93" s="6" t="s">
        <v>29</v>
      </c>
      <c r="N93">
        <v>2463.75</v>
      </c>
    </row>
    <row r="94" spans="1:14" x14ac:dyDescent="0.35">
      <c r="A94" s="6" t="s">
        <v>401</v>
      </c>
      <c r="B94" s="7">
        <v>45453</v>
      </c>
      <c r="C94" s="6" t="s">
        <v>402</v>
      </c>
      <c r="D94" s="6" t="s">
        <v>48</v>
      </c>
      <c r="E94">
        <v>4</v>
      </c>
      <c r="F94">
        <v>48.61</v>
      </c>
      <c r="G94" s="6" t="s">
        <v>403</v>
      </c>
      <c r="H94" s="6" t="s">
        <v>27</v>
      </c>
      <c r="I94" s="6" t="s">
        <v>19</v>
      </c>
      <c r="J94" s="6" t="s">
        <v>404</v>
      </c>
      <c r="K94">
        <v>7</v>
      </c>
      <c r="L94" s="6" t="s">
        <v>37</v>
      </c>
      <c r="M94" s="6" t="s">
        <v>45</v>
      </c>
      <c r="N94">
        <v>194.44</v>
      </c>
    </row>
    <row r="95" spans="1:14" x14ac:dyDescent="0.35">
      <c r="A95" s="6" t="s">
        <v>405</v>
      </c>
      <c r="B95" s="7">
        <v>44940</v>
      </c>
      <c r="C95" s="6" t="s">
        <v>406</v>
      </c>
      <c r="D95" s="6" t="s">
        <v>73</v>
      </c>
      <c r="E95">
        <v>4</v>
      </c>
      <c r="F95">
        <v>431.01</v>
      </c>
      <c r="G95" s="6" t="s">
        <v>407</v>
      </c>
      <c r="H95" s="6" t="s">
        <v>34</v>
      </c>
      <c r="I95" s="6" t="s">
        <v>43</v>
      </c>
      <c r="J95" s="6" t="s">
        <v>408</v>
      </c>
      <c r="K95">
        <v>7</v>
      </c>
      <c r="L95" s="6" t="s">
        <v>4283</v>
      </c>
      <c r="M95" s="6" t="s">
        <v>29</v>
      </c>
      <c r="N95">
        <v>1724.04</v>
      </c>
    </row>
    <row r="96" spans="1:14" x14ac:dyDescent="0.35">
      <c r="A96" s="6" t="s">
        <v>409</v>
      </c>
      <c r="B96" s="7">
        <v>44968</v>
      </c>
      <c r="C96" s="6" t="s">
        <v>410</v>
      </c>
      <c r="D96" s="6" t="s">
        <v>41</v>
      </c>
      <c r="E96">
        <v>1</v>
      </c>
      <c r="F96">
        <v>531.17999999999995</v>
      </c>
      <c r="G96" s="6" t="s">
        <v>411</v>
      </c>
      <c r="H96" s="6" t="s">
        <v>60</v>
      </c>
      <c r="I96" s="6" t="s">
        <v>43</v>
      </c>
      <c r="J96" s="6" t="s">
        <v>412</v>
      </c>
      <c r="K96">
        <v>6</v>
      </c>
      <c r="L96" s="6" t="s">
        <v>81</v>
      </c>
      <c r="M96" s="6" t="s">
        <v>22</v>
      </c>
      <c r="N96">
        <v>531.17999999999995</v>
      </c>
    </row>
    <row r="97" spans="1:14" x14ac:dyDescent="0.35">
      <c r="A97" s="6" t="s">
        <v>413</v>
      </c>
      <c r="B97" s="7">
        <v>45009</v>
      </c>
      <c r="C97" s="6" t="s">
        <v>414</v>
      </c>
      <c r="D97" s="6" t="s">
        <v>48</v>
      </c>
      <c r="E97">
        <v>4</v>
      </c>
      <c r="F97">
        <v>117.51</v>
      </c>
      <c r="G97" s="6" t="s">
        <v>415</v>
      </c>
      <c r="H97" s="6" t="s">
        <v>18</v>
      </c>
      <c r="I97" s="6" t="s">
        <v>43</v>
      </c>
      <c r="J97" s="6" t="s">
        <v>416</v>
      </c>
      <c r="K97">
        <v>7</v>
      </c>
      <c r="L97" s="6" t="s">
        <v>4283</v>
      </c>
      <c r="M97" s="6" t="s">
        <v>29</v>
      </c>
      <c r="N97">
        <v>470.04</v>
      </c>
    </row>
    <row r="98" spans="1:14" x14ac:dyDescent="0.35">
      <c r="A98" s="6" t="s">
        <v>417</v>
      </c>
      <c r="B98" s="7">
        <v>45444</v>
      </c>
      <c r="C98" s="6" t="s">
        <v>418</v>
      </c>
      <c r="D98" s="6" t="s">
        <v>25</v>
      </c>
      <c r="E98">
        <v>2</v>
      </c>
      <c r="F98">
        <v>232.83</v>
      </c>
      <c r="G98" s="6" t="s">
        <v>351</v>
      </c>
      <c r="H98" s="6" t="s">
        <v>60</v>
      </c>
      <c r="I98" s="6" t="s">
        <v>50</v>
      </c>
      <c r="J98" s="6" t="s">
        <v>419</v>
      </c>
      <c r="K98">
        <v>7</v>
      </c>
      <c r="L98" s="6" t="s">
        <v>4283</v>
      </c>
      <c r="M98" s="6" t="s">
        <v>22</v>
      </c>
      <c r="N98">
        <v>465.66</v>
      </c>
    </row>
    <row r="99" spans="1:14" x14ac:dyDescent="0.35">
      <c r="A99" s="6" t="s">
        <v>420</v>
      </c>
      <c r="B99" s="7">
        <v>45678</v>
      </c>
      <c r="C99" s="6" t="s">
        <v>421</v>
      </c>
      <c r="D99" s="6" t="s">
        <v>32</v>
      </c>
      <c r="E99">
        <v>5</v>
      </c>
      <c r="F99">
        <v>619.52</v>
      </c>
      <c r="G99" s="6" t="s">
        <v>422</v>
      </c>
      <c r="H99" s="6" t="s">
        <v>18</v>
      </c>
      <c r="I99" s="6" t="s">
        <v>89</v>
      </c>
      <c r="J99" s="6" t="s">
        <v>423</v>
      </c>
      <c r="K99">
        <v>9</v>
      </c>
      <c r="L99" s="6" t="s">
        <v>4283</v>
      </c>
      <c r="M99" s="6" t="s">
        <v>38</v>
      </c>
      <c r="N99">
        <v>3097.6</v>
      </c>
    </row>
    <row r="100" spans="1:14" x14ac:dyDescent="0.35">
      <c r="A100" s="6" t="s">
        <v>424</v>
      </c>
      <c r="B100" s="7">
        <v>44940</v>
      </c>
      <c r="C100" s="6" t="s">
        <v>425</v>
      </c>
      <c r="D100" s="6" t="s">
        <v>48</v>
      </c>
      <c r="E100">
        <v>2</v>
      </c>
      <c r="F100">
        <v>228.54</v>
      </c>
      <c r="G100" s="6" t="s">
        <v>426</v>
      </c>
      <c r="H100" s="6" t="s">
        <v>18</v>
      </c>
      <c r="I100" s="6" t="s">
        <v>89</v>
      </c>
      <c r="J100" s="6" t="s">
        <v>427</v>
      </c>
      <c r="K100">
        <v>3</v>
      </c>
      <c r="L100" s="6" t="s">
        <v>4283</v>
      </c>
      <c r="M100" s="6" t="s">
        <v>38</v>
      </c>
      <c r="N100">
        <v>457.08</v>
      </c>
    </row>
    <row r="101" spans="1:14" x14ac:dyDescent="0.35">
      <c r="A101" s="6" t="s">
        <v>428</v>
      </c>
      <c r="B101" s="7">
        <v>45759</v>
      </c>
      <c r="C101" s="6" t="s">
        <v>429</v>
      </c>
      <c r="D101" s="6" t="s">
        <v>48</v>
      </c>
      <c r="E101">
        <v>1</v>
      </c>
      <c r="F101">
        <v>201.58</v>
      </c>
      <c r="G101" s="6" t="s">
        <v>430</v>
      </c>
      <c r="H101" s="6" t="s">
        <v>18</v>
      </c>
      <c r="I101" s="6" t="s">
        <v>35</v>
      </c>
      <c r="J101" s="6" t="s">
        <v>431</v>
      </c>
      <c r="K101">
        <v>2</v>
      </c>
      <c r="L101" s="6" t="s">
        <v>81</v>
      </c>
      <c r="M101" s="6" t="s">
        <v>38</v>
      </c>
      <c r="N101">
        <v>201.58</v>
      </c>
    </row>
    <row r="102" spans="1:14" x14ac:dyDescent="0.35">
      <c r="A102" s="6" t="s">
        <v>432</v>
      </c>
      <c r="B102" s="7">
        <v>44974</v>
      </c>
      <c r="C102" s="6" t="s">
        <v>433</v>
      </c>
      <c r="D102" s="6" t="s">
        <v>25</v>
      </c>
      <c r="E102">
        <v>3</v>
      </c>
      <c r="F102">
        <v>664.79</v>
      </c>
      <c r="G102" s="6" t="s">
        <v>434</v>
      </c>
      <c r="H102" s="6" t="s">
        <v>27</v>
      </c>
      <c r="I102" s="6" t="s">
        <v>50</v>
      </c>
      <c r="J102" s="6" t="s">
        <v>435</v>
      </c>
      <c r="K102">
        <v>6</v>
      </c>
      <c r="L102" s="6" t="s">
        <v>4283</v>
      </c>
      <c r="M102" s="6" t="s">
        <v>45</v>
      </c>
      <c r="N102">
        <v>1994.37</v>
      </c>
    </row>
    <row r="103" spans="1:14" x14ac:dyDescent="0.35">
      <c r="A103" s="6" t="s">
        <v>436</v>
      </c>
      <c r="B103" s="7">
        <v>45255</v>
      </c>
      <c r="C103" s="6" t="s">
        <v>437</v>
      </c>
      <c r="D103" s="6" t="s">
        <v>48</v>
      </c>
      <c r="E103">
        <v>1</v>
      </c>
      <c r="F103">
        <v>381.02</v>
      </c>
      <c r="G103" s="6" t="s">
        <v>438</v>
      </c>
      <c r="H103" s="6" t="s">
        <v>65</v>
      </c>
      <c r="I103" s="6" t="s">
        <v>19</v>
      </c>
      <c r="J103" s="6" t="s">
        <v>439</v>
      </c>
      <c r="K103">
        <v>6</v>
      </c>
      <c r="L103" s="6" t="s">
        <v>4283</v>
      </c>
      <c r="M103" s="6" t="s">
        <v>76</v>
      </c>
      <c r="N103">
        <v>381.02</v>
      </c>
    </row>
    <row r="104" spans="1:14" x14ac:dyDescent="0.35">
      <c r="A104" s="6" t="s">
        <v>440</v>
      </c>
      <c r="B104" s="7">
        <v>44993</v>
      </c>
      <c r="C104" s="6" t="s">
        <v>441</v>
      </c>
      <c r="D104" s="6" t="s">
        <v>58</v>
      </c>
      <c r="E104">
        <v>2</v>
      </c>
      <c r="F104">
        <v>70.34</v>
      </c>
      <c r="G104" s="6" t="s">
        <v>442</v>
      </c>
      <c r="H104" s="6" t="s">
        <v>60</v>
      </c>
      <c r="I104" s="6" t="s">
        <v>35</v>
      </c>
      <c r="J104" s="6" t="s">
        <v>443</v>
      </c>
      <c r="K104">
        <v>3</v>
      </c>
      <c r="L104" s="6" t="s">
        <v>37</v>
      </c>
      <c r="M104" s="6" t="s">
        <v>38</v>
      </c>
      <c r="N104">
        <v>140.68</v>
      </c>
    </row>
    <row r="105" spans="1:14" x14ac:dyDescent="0.35">
      <c r="A105" s="6" t="s">
        <v>444</v>
      </c>
      <c r="B105" s="7">
        <v>45682</v>
      </c>
      <c r="C105" s="6" t="s">
        <v>445</v>
      </c>
      <c r="D105" s="6" t="s">
        <v>25</v>
      </c>
      <c r="E105">
        <v>4</v>
      </c>
      <c r="F105">
        <v>218.43</v>
      </c>
      <c r="G105" s="6" t="s">
        <v>446</v>
      </c>
      <c r="H105" s="6" t="s">
        <v>34</v>
      </c>
      <c r="I105" s="6" t="s">
        <v>35</v>
      </c>
      <c r="J105" s="6" t="s">
        <v>447</v>
      </c>
      <c r="K105">
        <v>9</v>
      </c>
      <c r="L105" s="6" t="s">
        <v>21</v>
      </c>
      <c r="M105" s="6" t="s">
        <v>38</v>
      </c>
      <c r="N105">
        <v>873.72</v>
      </c>
    </row>
    <row r="106" spans="1:14" x14ac:dyDescent="0.35">
      <c r="A106" s="6" t="s">
        <v>448</v>
      </c>
      <c r="B106" s="7">
        <v>45503</v>
      </c>
      <c r="C106" s="6" t="s">
        <v>449</v>
      </c>
      <c r="D106" s="6" t="s">
        <v>25</v>
      </c>
      <c r="E106">
        <v>1</v>
      </c>
      <c r="F106">
        <v>582.04</v>
      </c>
      <c r="G106" s="6" t="s">
        <v>450</v>
      </c>
      <c r="H106" s="6" t="s">
        <v>60</v>
      </c>
      <c r="I106" s="6" t="s">
        <v>50</v>
      </c>
      <c r="J106" s="6" t="s">
        <v>451</v>
      </c>
      <c r="K106">
        <v>1</v>
      </c>
      <c r="L106" s="6" t="s">
        <v>37</v>
      </c>
      <c r="M106" s="6" t="s">
        <v>38</v>
      </c>
      <c r="N106">
        <v>582.04</v>
      </c>
    </row>
    <row r="107" spans="1:14" x14ac:dyDescent="0.35">
      <c r="A107" s="6" t="s">
        <v>452</v>
      </c>
      <c r="B107" s="7">
        <v>45589</v>
      </c>
      <c r="C107" s="6" t="s">
        <v>453</v>
      </c>
      <c r="D107" s="6" t="s">
        <v>48</v>
      </c>
      <c r="E107">
        <v>3</v>
      </c>
      <c r="F107">
        <v>185.4</v>
      </c>
      <c r="G107" s="6" t="s">
        <v>454</v>
      </c>
      <c r="H107" s="6" t="s">
        <v>60</v>
      </c>
      <c r="I107" s="6" t="s">
        <v>35</v>
      </c>
      <c r="J107" s="6" t="s">
        <v>455</v>
      </c>
      <c r="K107">
        <v>7</v>
      </c>
      <c r="L107" s="6" t="s">
        <v>4283</v>
      </c>
      <c r="M107" s="6" t="s">
        <v>45</v>
      </c>
      <c r="N107">
        <v>556.20000000000005</v>
      </c>
    </row>
    <row r="108" spans="1:14" x14ac:dyDescent="0.35">
      <c r="A108" s="6" t="s">
        <v>456</v>
      </c>
      <c r="B108" s="7">
        <v>45177</v>
      </c>
      <c r="C108" s="6" t="s">
        <v>457</v>
      </c>
      <c r="D108" s="6" t="s">
        <v>73</v>
      </c>
      <c r="E108">
        <v>3</v>
      </c>
      <c r="F108">
        <v>465.05</v>
      </c>
      <c r="G108" s="6" t="s">
        <v>458</v>
      </c>
      <c r="H108" s="6" t="s">
        <v>34</v>
      </c>
      <c r="I108" s="6" t="s">
        <v>35</v>
      </c>
      <c r="J108" s="6" t="s">
        <v>459</v>
      </c>
      <c r="K108">
        <v>3</v>
      </c>
      <c r="L108" s="6" t="s">
        <v>21</v>
      </c>
      <c r="M108" s="6" t="s">
        <v>38</v>
      </c>
      <c r="N108">
        <v>1395.15</v>
      </c>
    </row>
    <row r="109" spans="1:14" x14ac:dyDescent="0.35">
      <c r="A109" s="6" t="s">
        <v>460</v>
      </c>
      <c r="B109" s="7">
        <v>45012</v>
      </c>
      <c r="C109" s="6" t="s">
        <v>461</v>
      </c>
      <c r="D109" s="6" t="s">
        <v>48</v>
      </c>
      <c r="E109">
        <v>5</v>
      </c>
      <c r="F109">
        <v>670.75</v>
      </c>
      <c r="G109" s="6" t="s">
        <v>462</v>
      </c>
      <c r="H109" s="6" t="s">
        <v>60</v>
      </c>
      <c r="I109" s="6" t="s">
        <v>19</v>
      </c>
      <c r="J109" s="6" t="s">
        <v>463</v>
      </c>
      <c r="K109">
        <v>8</v>
      </c>
      <c r="L109" s="6" t="s">
        <v>37</v>
      </c>
      <c r="M109" s="6" t="s">
        <v>22</v>
      </c>
      <c r="N109">
        <v>3353.75</v>
      </c>
    </row>
    <row r="110" spans="1:14" x14ac:dyDescent="0.35">
      <c r="A110" s="6" t="s">
        <v>464</v>
      </c>
      <c r="B110" s="7">
        <v>45654</v>
      </c>
      <c r="C110" s="6" t="s">
        <v>465</v>
      </c>
      <c r="D110" s="6" t="s">
        <v>58</v>
      </c>
      <c r="E110">
        <v>5</v>
      </c>
      <c r="F110">
        <v>48.38</v>
      </c>
      <c r="G110" s="6" t="s">
        <v>466</v>
      </c>
      <c r="H110" s="6" t="s">
        <v>60</v>
      </c>
      <c r="I110" s="6" t="s">
        <v>50</v>
      </c>
      <c r="J110" s="6" t="s">
        <v>467</v>
      </c>
      <c r="K110">
        <v>9</v>
      </c>
      <c r="L110" s="6" t="s">
        <v>81</v>
      </c>
      <c r="M110" s="6" t="s">
        <v>38</v>
      </c>
      <c r="N110">
        <v>241.9</v>
      </c>
    </row>
    <row r="111" spans="1:14" x14ac:dyDescent="0.35">
      <c r="A111" s="6" t="s">
        <v>468</v>
      </c>
      <c r="B111" s="7">
        <v>45186</v>
      </c>
      <c r="C111" s="6" t="s">
        <v>469</v>
      </c>
      <c r="D111" s="6" t="s">
        <v>73</v>
      </c>
      <c r="E111">
        <v>3</v>
      </c>
      <c r="F111">
        <v>592.87</v>
      </c>
      <c r="G111" s="6" t="s">
        <v>470</v>
      </c>
      <c r="H111" s="6" t="s">
        <v>60</v>
      </c>
      <c r="I111" s="6" t="s">
        <v>19</v>
      </c>
      <c r="J111" s="6" t="s">
        <v>471</v>
      </c>
      <c r="K111">
        <v>3</v>
      </c>
      <c r="L111" s="6" t="s">
        <v>37</v>
      </c>
      <c r="M111" s="6" t="s">
        <v>29</v>
      </c>
      <c r="N111">
        <v>1778.61</v>
      </c>
    </row>
    <row r="112" spans="1:14" x14ac:dyDescent="0.35">
      <c r="A112" s="6" t="s">
        <v>472</v>
      </c>
      <c r="B112" s="7">
        <v>45403</v>
      </c>
      <c r="C112" s="6" t="s">
        <v>473</v>
      </c>
      <c r="D112" s="6" t="s">
        <v>32</v>
      </c>
      <c r="E112">
        <v>1</v>
      </c>
      <c r="F112">
        <v>220.77</v>
      </c>
      <c r="G112" s="6" t="s">
        <v>474</v>
      </c>
      <c r="H112" s="6" t="s">
        <v>60</v>
      </c>
      <c r="I112" s="6" t="s">
        <v>89</v>
      </c>
      <c r="J112" s="6" t="s">
        <v>475</v>
      </c>
      <c r="K112">
        <v>5</v>
      </c>
      <c r="L112" s="6" t="s">
        <v>37</v>
      </c>
      <c r="M112" s="6" t="s">
        <v>22</v>
      </c>
      <c r="N112">
        <v>220.77</v>
      </c>
    </row>
    <row r="113" spans="1:14" x14ac:dyDescent="0.35">
      <c r="A113" s="6" t="s">
        <v>476</v>
      </c>
      <c r="B113" s="7">
        <v>45784</v>
      </c>
      <c r="C113" s="6" t="s">
        <v>477</v>
      </c>
      <c r="D113" s="6" t="s">
        <v>73</v>
      </c>
      <c r="E113">
        <v>3</v>
      </c>
      <c r="F113">
        <v>309.22000000000003</v>
      </c>
      <c r="G113" s="6" t="s">
        <v>478</v>
      </c>
      <c r="H113" s="6" t="s">
        <v>27</v>
      </c>
      <c r="I113" s="6" t="s">
        <v>35</v>
      </c>
      <c r="J113" s="6" t="s">
        <v>479</v>
      </c>
      <c r="K113">
        <v>7</v>
      </c>
      <c r="L113" s="6" t="s">
        <v>37</v>
      </c>
      <c r="M113" s="6" t="s">
        <v>76</v>
      </c>
      <c r="N113">
        <v>927.66</v>
      </c>
    </row>
    <row r="114" spans="1:14" x14ac:dyDescent="0.35">
      <c r="A114" s="6" t="s">
        <v>480</v>
      </c>
      <c r="B114" s="7">
        <v>44927</v>
      </c>
      <c r="C114" s="6" t="s">
        <v>481</v>
      </c>
      <c r="D114" s="6" t="s">
        <v>16</v>
      </c>
      <c r="E114">
        <v>1</v>
      </c>
      <c r="F114">
        <v>410.6</v>
      </c>
      <c r="G114" s="6" t="s">
        <v>482</v>
      </c>
      <c r="H114" s="6" t="s">
        <v>27</v>
      </c>
      <c r="I114" s="6" t="s">
        <v>35</v>
      </c>
      <c r="J114" s="6" t="s">
        <v>483</v>
      </c>
      <c r="K114">
        <v>2</v>
      </c>
      <c r="L114" s="6" t="s">
        <v>81</v>
      </c>
      <c r="M114" s="6" t="s">
        <v>29</v>
      </c>
      <c r="N114">
        <v>410.6</v>
      </c>
    </row>
    <row r="115" spans="1:14" x14ac:dyDescent="0.35">
      <c r="A115" s="6" t="s">
        <v>484</v>
      </c>
      <c r="B115" s="7">
        <v>45308</v>
      </c>
      <c r="C115" s="6" t="s">
        <v>485</v>
      </c>
      <c r="D115" s="6" t="s">
        <v>58</v>
      </c>
      <c r="E115">
        <v>5</v>
      </c>
      <c r="F115">
        <v>190.08</v>
      </c>
      <c r="G115" s="6" t="s">
        <v>486</v>
      </c>
      <c r="H115" s="6" t="s">
        <v>65</v>
      </c>
      <c r="I115" s="6" t="s">
        <v>19</v>
      </c>
      <c r="J115" s="6" t="s">
        <v>487</v>
      </c>
      <c r="K115">
        <v>9</v>
      </c>
      <c r="L115" s="6" t="s">
        <v>37</v>
      </c>
      <c r="M115" s="6" t="s">
        <v>22</v>
      </c>
      <c r="N115">
        <v>950.4</v>
      </c>
    </row>
    <row r="116" spans="1:14" x14ac:dyDescent="0.35">
      <c r="A116" s="6" t="s">
        <v>488</v>
      </c>
      <c r="B116" s="7">
        <v>45684</v>
      </c>
      <c r="C116" s="6" t="s">
        <v>489</v>
      </c>
      <c r="D116" s="6" t="s">
        <v>16</v>
      </c>
      <c r="E116">
        <v>5</v>
      </c>
      <c r="F116">
        <v>498.48</v>
      </c>
      <c r="G116" s="6" t="s">
        <v>490</v>
      </c>
      <c r="H116" s="6" t="s">
        <v>27</v>
      </c>
      <c r="I116" s="6" t="s">
        <v>89</v>
      </c>
      <c r="J116" s="6" t="s">
        <v>491</v>
      </c>
      <c r="K116">
        <v>8</v>
      </c>
      <c r="L116" s="6" t="s">
        <v>21</v>
      </c>
      <c r="M116" s="6" t="s">
        <v>76</v>
      </c>
      <c r="N116">
        <v>2492.4</v>
      </c>
    </row>
    <row r="117" spans="1:14" x14ac:dyDescent="0.35">
      <c r="A117" s="6" t="s">
        <v>492</v>
      </c>
      <c r="B117" s="7">
        <v>45257</v>
      </c>
      <c r="C117" s="6" t="s">
        <v>493</v>
      </c>
      <c r="D117" s="6" t="s">
        <v>25</v>
      </c>
      <c r="E117">
        <v>5</v>
      </c>
      <c r="F117">
        <v>374.99</v>
      </c>
      <c r="G117" s="6" t="s">
        <v>494</v>
      </c>
      <c r="H117" s="6" t="s">
        <v>27</v>
      </c>
      <c r="I117" s="6" t="s">
        <v>19</v>
      </c>
      <c r="J117" s="6" t="s">
        <v>495</v>
      </c>
      <c r="K117">
        <v>9</v>
      </c>
      <c r="L117" s="6" t="s">
        <v>21</v>
      </c>
      <c r="M117" s="6" t="s">
        <v>45</v>
      </c>
      <c r="N117">
        <v>1874.95</v>
      </c>
    </row>
    <row r="118" spans="1:14" x14ac:dyDescent="0.35">
      <c r="A118" s="6" t="s">
        <v>496</v>
      </c>
      <c r="B118" s="7">
        <v>45004</v>
      </c>
      <c r="C118" s="6" t="s">
        <v>497</v>
      </c>
      <c r="D118" s="6" t="s">
        <v>48</v>
      </c>
      <c r="E118">
        <v>4</v>
      </c>
      <c r="F118">
        <v>291.35000000000002</v>
      </c>
      <c r="G118" s="6" t="s">
        <v>498</v>
      </c>
      <c r="H118" s="6" t="s">
        <v>34</v>
      </c>
      <c r="I118" s="6" t="s">
        <v>35</v>
      </c>
      <c r="J118" s="6" t="s">
        <v>499</v>
      </c>
      <c r="K118">
        <v>6</v>
      </c>
      <c r="L118" s="6" t="s">
        <v>81</v>
      </c>
      <c r="M118" s="6" t="s">
        <v>45</v>
      </c>
      <c r="N118">
        <v>1165.4000000000001</v>
      </c>
    </row>
    <row r="119" spans="1:14" x14ac:dyDescent="0.35">
      <c r="A119" s="6" t="s">
        <v>500</v>
      </c>
      <c r="B119" s="7">
        <v>44993</v>
      </c>
      <c r="C119" s="6" t="s">
        <v>501</v>
      </c>
      <c r="D119" s="6" t="s">
        <v>32</v>
      </c>
      <c r="E119">
        <v>1</v>
      </c>
      <c r="F119">
        <v>535.5</v>
      </c>
      <c r="G119" s="6" t="s">
        <v>502</v>
      </c>
      <c r="H119" s="6" t="s">
        <v>60</v>
      </c>
      <c r="I119" s="6" t="s">
        <v>35</v>
      </c>
      <c r="J119" s="6" t="s">
        <v>503</v>
      </c>
      <c r="K119">
        <v>5</v>
      </c>
      <c r="L119" s="6" t="s">
        <v>81</v>
      </c>
      <c r="M119" s="6" t="s">
        <v>29</v>
      </c>
      <c r="N119">
        <v>535.5</v>
      </c>
    </row>
    <row r="120" spans="1:14" x14ac:dyDescent="0.35">
      <c r="A120" s="6" t="s">
        <v>504</v>
      </c>
      <c r="B120" s="7">
        <v>45208</v>
      </c>
      <c r="C120" s="6" t="s">
        <v>505</v>
      </c>
      <c r="D120" s="6" t="s">
        <v>48</v>
      </c>
      <c r="E120">
        <v>5</v>
      </c>
      <c r="F120">
        <v>502.71</v>
      </c>
      <c r="G120" s="6" t="s">
        <v>506</v>
      </c>
      <c r="H120" s="6" t="s">
        <v>60</v>
      </c>
      <c r="I120" s="6" t="s">
        <v>19</v>
      </c>
      <c r="J120" s="6" t="s">
        <v>507</v>
      </c>
      <c r="K120">
        <v>7</v>
      </c>
      <c r="L120" s="6" t="s">
        <v>37</v>
      </c>
      <c r="M120" s="6" t="s">
        <v>76</v>
      </c>
      <c r="N120">
        <v>2513.5500000000002</v>
      </c>
    </row>
    <row r="121" spans="1:14" x14ac:dyDescent="0.35">
      <c r="A121" s="6" t="s">
        <v>508</v>
      </c>
      <c r="B121" s="7">
        <v>45819</v>
      </c>
      <c r="C121" s="6" t="s">
        <v>509</v>
      </c>
      <c r="D121" s="6" t="s">
        <v>73</v>
      </c>
      <c r="E121">
        <v>2</v>
      </c>
      <c r="F121">
        <v>534.66999999999996</v>
      </c>
      <c r="G121" s="6" t="s">
        <v>510</v>
      </c>
      <c r="H121" s="6" t="s">
        <v>18</v>
      </c>
      <c r="I121" s="6" t="s">
        <v>19</v>
      </c>
      <c r="J121" s="6" t="s">
        <v>511</v>
      </c>
      <c r="K121">
        <v>7</v>
      </c>
      <c r="L121" s="6" t="s">
        <v>37</v>
      </c>
      <c r="M121" s="6" t="s">
        <v>29</v>
      </c>
      <c r="N121">
        <v>1069.3399999999999</v>
      </c>
    </row>
    <row r="122" spans="1:14" x14ac:dyDescent="0.35">
      <c r="A122" s="6" t="s">
        <v>512</v>
      </c>
      <c r="B122" s="7">
        <v>45027</v>
      </c>
      <c r="C122" s="6" t="s">
        <v>513</v>
      </c>
      <c r="D122" s="6" t="s">
        <v>32</v>
      </c>
      <c r="E122">
        <v>4</v>
      </c>
      <c r="F122">
        <v>629.34</v>
      </c>
      <c r="G122" s="6" t="s">
        <v>59</v>
      </c>
      <c r="H122" s="6" t="s">
        <v>65</v>
      </c>
      <c r="I122" s="6" t="s">
        <v>35</v>
      </c>
      <c r="J122" s="6" t="s">
        <v>514</v>
      </c>
      <c r="K122">
        <v>4</v>
      </c>
      <c r="L122" s="6" t="s">
        <v>81</v>
      </c>
      <c r="M122" s="6" t="s">
        <v>22</v>
      </c>
      <c r="N122">
        <v>2517.36</v>
      </c>
    </row>
    <row r="123" spans="1:14" x14ac:dyDescent="0.35">
      <c r="A123" s="6" t="s">
        <v>515</v>
      </c>
      <c r="B123" s="7">
        <v>45260</v>
      </c>
      <c r="C123" s="6" t="s">
        <v>516</v>
      </c>
      <c r="D123" s="6" t="s">
        <v>73</v>
      </c>
      <c r="E123">
        <v>1</v>
      </c>
      <c r="F123">
        <v>410.78</v>
      </c>
      <c r="G123" s="6" t="s">
        <v>517</v>
      </c>
      <c r="H123" s="6" t="s">
        <v>65</v>
      </c>
      <c r="I123" s="6" t="s">
        <v>35</v>
      </c>
      <c r="J123" s="6" t="s">
        <v>518</v>
      </c>
      <c r="K123">
        <v>1</v>
      </c>
      <c r="L123" s="6" t="s">
        <v>37</v>
      </c>
      <c r="M123" s="6" t="s">
        <v>22</v>
      </c>
      <c r="N123">
        <v>410.78</v>
      </c>
    </row>
    <row r="124" spans="1:14" x14ac:dyDescent="0.35">
      <c r="A124" s="6" t="s">
        <v>519</v>
      </c>
      <c r="B124" s="7">
        <v>45397</v>
      </c>
      <c r="C124" s="6" t="s">
        <v>520</v>
      </c>
      <c r="D124" s="6" t="s">
        <v>58</v>
      </c>
      <c r="E124">
        <v>2</v>
      </c>
      <c r="F124">
        <v>533.02</v>
      </c>
      <c r="G124" s="6" t="s">
        <v>521</v>
      </c>
      <c r="H124" s="6" t="s">
        <v>60</v>
      </c>
      <c r="I124" s="6" t="s">
        <v>19</v>
      </c>
      <c r="J124" s="6" t="s">
        <v>522</v>
      </c>
      <c r="K124">
        <v>2</v>
      </c>
      <c r="L124" s="6" t="s">
        <v>4283</v>
      </c>
      <c r="M124" s="6" t="s">
        <v>45</v>
      </c>
      <c r="N124">
        <v>1066.04</v>
      </c>
    </row>
    <row r="125" spans="1:14" x14ac:dyDescent="0.35">
      <c r="A125" s="6" t="s">
        <v>523</v>
      </c>
      <c r="B125" s="7">
        <v>45113</v>
      </c>
      <c r="C125" s="6" t="s">
        <v>524</v>
      </c>
      <c r="D125" s="6" t="s">
        <v>73</v>
      </c>
      <c r="E125">
        <v>3</v>
      </c>
      <c r="F125">
        <v>278.04000000000002</v>
      </c>
      <c r="G125" s="6" t="s">
        <v>525</v>
      </c>
      <c r="H125" s="6" t="s">
        <v>27</v>
      </c>
      <c r="I125" s="6" t="s">
        <v>50</v>
      </c>
      <c r="J125" s="6" t="s">
        <v>526</v>
      </c>
      <c r="K125">
        <v>5</v>
      </c>
      <c r="L125" s="6" t="s">
        <v>4283</v>
      </c>
      <c r="M125" s="6" t="s">
        <v>22</v>
      </c>
      <c r="N125">
        <v>834.12</v>
      </c>
    </row>
    <row r="126" spans="1:14" x14ac:dyDescent="0.35">
      <c r="A126" s="6" t="s">
        <v>527</v>
      </c>
      <c r="B126" s="7">
        <v>45501</v>
      </c>
      <c r="C126" s="6" t="s">
        <v>528</v>
      </c>
      <c r="D126" s="6" t="s">
        <v>48</v>
      </c>
      <c r="E126">
        <v>4</v>
      </c>
      <c r="F126">
        <v>283.79000000000002</v>
      </c>
      <c r="G126" s="6" t="s">
        <v>529</v>
      </c>
      <c r="H126" s="6" t="s">
        <v>27</v>
      </c>
      <c r="I126" s="6" t="s">
        <v>89</v>
      </c>
      <c r="J126" s="6" t="s">
        <v>530</v>
      </c>
      <c r="K126">
        <v>8</v>
      </c>
      <c r="L126" s="6" t="s">
        <v>4283</v>
      </c>
      <c r="M126" s="6" t="s">
        <v>76</v>
      </c>
      <c r="N126">
        <v>1135.1600000000001</v>
      </c>
    </row>
    <row r="127" spans="1:14" x14ac:dyDescent="0.35">
      <c r="A127" s="6" t="s">
        <v>531</v>
      </c>
      <c r="B127" s="7">
        <v>45602</v>
      </c>
      <c r="C127" s="6" t="s">
        <v>532</v>
      </c>
      <c r="D127" s="6" t="s">
        <v>25</v>
      </c>
      <c r="E127">
        <v>2</v>
      </c>
      <c r="F127">
        <v>512.65</v>
      </c>
      <c r="G127" s="6" t="s">
        <v>533</v>
      </c>
      <c r="H127" s="6" t="s">
        <v>34</v>
      </c>
      <c r="I127" s="6" t="s">
        <v>19</v>
      </c>
      <c r="J127" s="6" t="s">
        <v>534</v>
      </c>
      <c r="K127">
        <v>5</v>
      </c>
      <c r="L127" s="6" t="s">
        <v>21</v>
      </c>
      <c r="M127" s="6" t="s">
        <v>38</v>
      </c>
      <c r="N127">
        <v>1025.3</v>
      </c>
    </row>
    <row r="128" spans="1:14" x14ac:dyDescent="0.35">
      <c r="A128" s="6" t="s">
        <v>535</v>
      </c>
      <c r="B128" s="7">
        <v>45780</v>
      </c>
      <c r="C128" s="6" t="s">
        <v>536</v>
      </c>
      <c r="D128" s="6" t="s">
        <v>73</v>
      </c>
      <c r="E128">
        <v>4</v>
      </c>
      <c r="F128">
        <v>275.5</v>
      </c>
      <c r="G128" s="6" t="s">
        <v>537</v>
      </c>
      <c r="H128" s="6" t="s">
        <v>60</v>
      </c>
      <c r="I128" s="6" t="s">
        <v>19</v>
      </c>
      <c r="J128" s="6" t="s">
        <v>538</v>
      </c>
      <c r="K128">
        <v>8</v>
      </c>
      <c r="L128" s="6" t="s">
        <v>37</v>
      </c>
      <c r="M128" s="6" t="s">
        <v>76</v>
      </c>
      <c r="N128">
        <v>1102</v>
      </c>
    </row>
    <row r="129" spans="1:14" x14ac:dyDescent="0.35">
      <c r="A129" s="6" t="s">
        <v>539</v>
      </c>
      <c r="B129" s="7">
        <v>45148</v>
      </c>
      <c r="C129" s="6" t="s">
        <v>540</v>
      </c>
      <c r="D129" s="6" t="s">
        <v>73</v>
      </c>
      <c r="E129">
        <v>3</v>
      </c>
      <c r="F129">
        <v>469.32</v>
      </c>
      <c r="G129" s="6" t="s">
        <v>541</v>
      </c>
      <c r="H129" s="6" t="s">
        <v>18</v>
      </c>
      <c r="I129" s="6" t="s">
        <v>19</v>
      </c>
      <c r="J129" s="6" t="s">
        <v>542</v>
      </c>
      <c r="K129">
        <v>3</v>
      </c>
      <c r="L129" s="6" t="s">
        <v>4283</v>
      </c>
      <c r="M129" s="6" t="s">
        <v>76</v>
      </c>
      <c r="N129">
        <v>1407.96</v>
      </c>
    </row>
    <row r="130" spans="1:14" x14ac:dyDescent="0.35">
      <c r="A130" s="6" t="s">
        <v>543</v>
      </c>
      <c r="B130" s="7">
        <v>44974</v>
      </c>
      <c r="C130" s="6" t="s">
        <v>544</v>
      </c>
      <c r="D130" s="6" t="s">
        <v>32</v>
      </c>
      <c r="E130">
        <v>4</v>
      </c>
      <c r="F130">
        <v>21.07</v>
      </c>
      <c r="G130" s="6" t="s">
        <v>545</v>
      </c>
      <c r="H130" s="6" t="s">
        <v>60</v>
      </c>
      <c r="I130" s="6" t="s">
        <v>50</v>
      </c>
      <c r="J130" s="6" t="s">
        <v>546</v>
      </c>
      <c r="K130">
        <v>4</v>
      </c>
      <c r="L130" s="6" t="s">
        <v>37</v>
      </c>
      <c r="M130" s="6" t="s">
        <v>76</v>
      </c>
      <c r="N130">
        <v>84.28</v>
      </c>
    </row>
    <row r="131" spans="1:14" x14ac:dyDescent="0.35">
      <c r="A131" s="6" t="s">
        <v>547</v>
      </c>
      <c r="B131" s="7">
        <v>45226</v>
      </c>
      <c r="C131" s="6" t="s">
        <v>548</v>
      </c>
      <c r="D131" s="6" t="s">
        <v>58</v>
      </c>
      <c r="E131">
        <v>4</v>
      </c>
      <c r="F131">
        <v>263.93</v>
      </c>
      <c r="G131" s="6" t="s">
        <v>549</v>
      </c>
      <c r="H131" s="6" t="s">
        <v>18</v>
      </c>
      <c r="I131" s="6" t="s">
        <v>19</v>
      </c>
      <c r="J131" s="6" t="s">
        <v>550</v>
      </c>
      <c r="K131">
        <v>4</v>
      </c>
      <c r="L131" s="6" t="s">
        <v>37</v>
      </c>
      <c r="M131" s="6" t="s">
        <v>45</v>
      </c>
      <c r="N131">
        <v>1055.72</v>
      </c>
    </row>
    <row r="132" spans="1:14" x14ac:dyDescent="0.35">
      <c r="A132" s="6" t="s">
        <v>551</v>
      </c>
      <c r="B132" s="7">
        <v>45679</v>
      </c>
      <c r="C132" s="6" t="s">
        <v>552</v>
      </c>
      <c r="D132" s="6" t="s">
        <v>73</v>
      </c>
      <c r="E132">
        <v>3</v>
      </c>
      <c r="F132">
        <v>501.3</v>
      </c>
      <c r="G132" s="6" t="s">
        <v>553</v>
      </c>
      <c r="H132" s="6" t="s">
        <v>27</v>
      </c>
      <c r="I132" s="6" t="s">
        <v>35</v>
      </c>
      <c r="J132" s="6" t="s">
        <v>554</v>
      </c>
      <c r="K132">
        <v>3</v>
      </c>
      <c r="L132" s="6" t="s">
        <v>81</v>
      </c>
      <c r="M132" s="6" t="s">
        <v>45</v>
      </c>
      <c r="N132">
        <v>1503.9</v>
      </c>
    </row>
    <row r="133" spans="1:14" x14ac:dyDescent="0.35">
      <c r="A133" s="6" t="s">
        <v>555</v>
      </c>
      <c r="B133" s="7">
        <v>44934</v>
      </c>
      <c r="C133" s="6" t="s">
        <v>556</v>
      </c>
      <c r="D133" s="6" t="s">
        <v>32</v>
      </c>
      <c r="E133">
        <v>1</v>
      </c>
      <c r="F133">
        <v>84.8</v>
      </c>
      <c r="G133" s="6" t="s">
        <v>557</v>
      </c>
      <c r="H133" s="6" t="s">
        <v>60</v>
      </c>
      <c r="I133" s="6" t="s">
        <v>89</v>
      </c>
      <c r="J133" s="6" t="s">
        <v>558</v>
      </c>
      <c r="K133">
        <v>5</v>
      </c>
      <c r="L133" s="6" t="s">
        <v>4283</v>
      </c>
      <c r="M133" s="6" t="s">
        <v>22</v>
      </c>
      <c r="N133">
        <v>84.8</v>
      </c>
    </row>
    <row r="134" spans="1:14" x14ac:dyDescent="0.35">
      <c r="A134" s="6" t="s">
        <v>559</v>
      </c>
      <c r="B134" s="7">
        <v>45013</v>
      </c>
      <c r="C134" s="6" t="s">
        <v>560</v>
      </c>
      <c r="D134" s="6" t="s">
        <v>32</v>
      </c>
      <c r="E134">
        <v>4</v>
      </c>
      <c r="F134">
        <v>450.75</v>
      </c>
      <c r="G134" s="6" t="s">
        <v>561</v>
      </c>
      <c r="H134" s="6" t="s">
        <v>34</v>
      </c>
      <c r="I134" s="6" t="s">
        <v>19</v>
      </c>
      <c r="J134" s="6" t="s">
        <v>562</v>
      </c>
      <c r="K134">
        <v>6</v>
      </c>
      <c r="L134" s="6" t="s">
        <v>81</v>
      </c>
      <c r="M134" s="6" t="s">
        <v>38</v>
      </c>
      <c r="N134">
        <v>1803</v>
      </c>
    </row>
    <row r="135" spans="1:14" x14ac:dyDescent="0.35">
      <c r="A135" s="6" t="s">
        <v>563</v>
      </c>
      <c r="B135" s="7">
        <v>45828</v>
      </c>
      <c r="C135" s="6" t="s">
        <v>564</v>
      </c>
      <c r="D135" s="6" t="s">
        <v>41</v>
      </c>
      <c r="E135">
        <v>4</v>
      </c>
      <c r="F135">
        <v>302.05</v>
      </c>
      <c r="G135" s="6" t="s">
        <v>565</v>
      </c>
      <c r="H135" s="6" t="s">
        <v>18</v>
      </c>
      <c r="I135" s="6" t="s">
        <v>35</v>
      </c>
      <c r="J135" s="6" t="s">
        <v>566</v>
      </c>
      <c r="K135">
        <v>6</v>
      </c>
      <c r="L135" s="6" t="s">
        <v>21</v>
      </c>
      <c r="M135" s="6" t="s">
        <v>76</v>
      </c>
      <c r="N135">
        <v>1208.2</v>
      </c>
    </row>
    <row r="136" spans="1:14" x14ac:dyDescent="0.35">
      <c r="A136" s="6" t="s">
        <v>567</v>
      </c>
      <c r="B136" s="7">
        <v>45831</v>
      </c>
      <c r="C136" s="6" t="s">
        <v>568</v>
      </c>
      <c r="D136" s="6" t="s">
        <v>58</v>
      </c>
      <c r="E136">
        <v>2</v>
      </c>
      <c r="F136">
        <v>199.7</v>
      </c>
      <c r="G136" s="6" t="s">
        <v>561</v>
      </c>
      <c r="H136" s="6" t="s">
        <v>65</v>
      </c>
      <c r="I136" s="6" t="s">
        <v>89</v>
      </c>
      <c r="J136" s="6" t="s">
        <v>569</v>
      </c>
      <c r="K136">
        <v>4</v>
      </c>
      <c r="L136" s="6" t="s">
        <v>4283</v>
      </c>
      <c r="M136" s="6" t="s">
        <v>38</v>
      </c>
      <c r="N136">
        <v>399.4</v>
      </c>
    </row>
    <row r="137" spans="1:14" x14ac:dyDescent="0.35">
      <c r="A137" s="6" t="s">
        <v>570</v>
      </c>
      <c r="B137" s="7">
        <v>45142</v>
      </c>
      <c r="C137" s="6" t="s">
        <v>571</v>
      </c>
      <c r="D137" s="6" t="s">
        <v>48</v>
      </c>
      <c r="E137">
        <v>2</v>
      </c>
      <c r="F137">
        <v>68.81</v>
      </c>
      <c r="G137" s="6" t="s">
        <v>572</v>
      </c>
      <c r="H137" s="6" t="s">
        <v>60</v>
      </c>
      <c r="I137" s="6" t="s">
        <v>19</v>
      </c>
      <c r="J137" s="6" t="s">
        <v>573</v>
      </c>
      <c r="K137">
        <v>5</v>
      </c>
      <c r="L137" s="6" t="s">
        <v>21</v>
      </c>
      <c r="M137" s="6" t="s">
        <v>29</v>
      </c>
      <c r="N137">
        <v>137.62</v>
      </c>
    </row>
    <row r="138" spans="1:14" x14ac:dyDescent="0.35">
      <c r="A138" s="6" t="s">
        <v>574</v>
      </c>
      <c r="B138" s="7">
        <v>45409</v>
      </c>
      <c r="C138" s="6" t="s">
        <v>575</v>
      </c>
      <c r="D138" s="6" t="s">
        <v>58</v>
      </c>
      <c r="E138">
        <v>1</v>
      </c>
      <c r="F138">
        <v>44.35</v>
      </c>
      <c r="G138" s="6" t="s">
        <v>576</v>
      </c>
      <c r="H138" s="6" t="s">
        <v>60</v>
      </c>
      <c r="I138" s="6" t="s">
        <v>35</v>
      </c>
      <c r="J138" s="6" t="s">
        <v>577</v>
      </c>
      <c r="K138">
        <v>1</v>
      </c>
      <c r="L138" s="6" t="s">
        <v>21</v>
      </c>
      <c r="M138" s="6" t="s">
        <v>22</v>
      </c>
      <c r="N138">
        <v>44.35</v>
      </c>
    </row>
    <row r="139" spans="1:14" x14ac:dyDescent="0.35">
      <c r="A139" s="6" t="s">
        <v>578</v>
      </c>
      <c r="B139" s="7">
        <v>45622</v>
      </c>
      <c r="C139" s="6" t="s">
        <v>579</v>
      </c>
      <c r="D139" s="6" t="s">
        <v>16</v>
      </c>
      <c r="E139">
        <v>2</v>
      </c>
      <c r="F139">
        <v>250.98</v>
      </c>
      <c r="G139" s="6" t="s">
        <v>580</v>
      </c>
      <c r="H139" s="6" t="s">
        <v>34</v>
      </c>
      <c r="I139" s="6" t="s">
        <v>50</v>
      </c>
      <c r="J139" s="6" t="s">
        <v>581</v>
      </c>
      <c r="K139">
        <v>5</v>
      </c>
      <c r="L139" s="6" t="s">
        <v>4283</v>
      </c>
      <c r="M139" s="6" t="s">
        <v>76</v>
      </c>
      <c r="N139">
        <v>501.96</v>
      </c>
    </row>
    <row r="140" spans="1:14" x14ac:dyDescent="0.35">
      <c r="A140" s="6" t="s">
        <v>582</v>
      </c>
      <c r="B140" s="7">
        <v>45281</v>
      </c>
      <c r="C140" s="6" t="s">
        <v>583</v>
      </c>
      <c r="D140" s="6" t="s">
        <v>32</v>
      </c>
      <c r="E140">
        <v>1</v>
      </c>
      <c r="F140">
        <v>298.06</v>
      </c>
      <c r="G140" s="6" t="s">
        <v>584</v>
      </c>
      <c r="H140" s="6" t="s">
        <v>18</v>
      </c>
      <c r="I140" s="6" t="s">
        <v>89</v>
      </c>
      <c r="J140" s="6" t="s">
        <v>585</v>
      </c>
      <c r="K140">
        <v>3</v>
      </c>
      <c r="L140" s="6" t="s">
        <v>81</v>
      </c>
      <c r="M140" s="6" t="s">
        <v>76</v>
      </c>
      <c r="N140">
        <v>298.06</v>
      </c>
    </row>
    <row r="141" spans="1:14" x14ac:dyDescent="0.35">
      <c r="A141" s="6" t="s">
        <v>586</v>
      </c>
      <c r="B141" s="7">
        <v>45026</v>
      </c>
      <c r="C141" s="6" t="s">
        <v>587</v>
      </c>
      <c r="D141" s="6" t="s">
        <v>25</v>
      </c>
      <c r="E141">
        <v>1</v>
      </c>
      <c r="F141">
        <v>583.9</v>
      </c>
      <c r="G141" s="6" t="s">
        <v>588</v>
      </c>
      <c r="H141" s="6" t="s">
        <v>65</v>
      </c>
      <c r="I141" s="6" t="s">
        <v>43</v>
      </c>
      <c r="J141" s="6" t="s">
        <v>589</v>
      </c>
      <c r="K141">
        <v>1</v>
      </c>
      <c r="L141" s="6" t="s">
        <v>4283</v>
      </c>
      <c r="M141" s="6" t="s">
        <v>38</v>
      </c>
      <c r="N141">
        <v>583.9</v>
      </c>
    </row>
    <row r="142" spans="1:14" x14ac:dyDescent="0.35">
      <c r="A142" s="6" t="s">
        <v>590</v>
      </c>
      <c r="B142" s="7">
        <v>45808</v>
      </c>
      <c r="C142" s="6" t="s">
        <v>591</v>
      </c>
      <c r="D142" s="6" t="s">
        <v>41</v>
      </c>
      <c r="E142">
        <v>3</v>
      </c>
      <c r="F142">
        <v>528.14</v>
      </c>
      <c r="G142" s="6" t="s">
        <v>474</v>
      </c>
      <c r="H142" s="6" t="s">
        <v>27</v>
      </c>
      <c r="I142" s="6" t="s">
        <v>50</v>
      </c>
      <c r="J142" s="6" t="s">
        <v>592</v>
      </c>
      <c r="K142">
        <v>3</v>
      </c>
      <c r="L142" s="6" t="s">
        <v>37</v>
      </c>
      <c r="M142" s="6" t="s">
        <v>38</v>
      </c>
      <c r="N142">
        <v>1584.42</v>
      </c>
    </row>
    <row r="143" spans="1:14" x14ac:dyDescent="0.35">
      <c r="A143" s="6" t="s">
        <v>593</v>
      </c>
      <c r="B143" s="7">
        <v>45248</v>
      </c>
      <c r="C143" s="6" t="s">
        <v>594</v>
      </c>
      <c r="D143" s="6" t="s">
        <v>48</v>
      </c>
      <c r="E143">
        <v>3</v>
      </c>
      <c r="F143">
        <v>684.14</v>
      </c>
      <c r="G143" s="6" t="s">
        <v>595</v>
      </c>
      <c r="H143" s="6" t="s">
        <v>65</v>
      </c>
      <c r="I143" s="6" t="s">
        <v>35</v>
      </c>
      <c r="J143" s="6" t="s">
        <v>596</v>
      </c>
      <c r="K143">
        <v>3</v>
      </c>
      <c r="L143" s="6" t="s">
        <v>81</v>
      </c>
      <c r="M143" s="6" t="s">
        <v>22</v>
      </c>
      <c r="N143">
        <v>2052.42</v>
      </c>
    </row>
    <row r="144" spans="1:14" x14ac:dyDescent="0.35">
      <c r="A144" s="6" t="s">
        <v>597</v>
      </c>
      <c r="B144" s="7">
        <v>45175</v>
      </c>
      <c r="C144" s="6" t="s">
        <v>598</v>
      </c>
      <c r="D144" s="6" t="s">
        <v>73</v>
      </c>
      <c r="E144">
        <v>5</v>
      </c>
      <c r="F144">
        <v>272.77</v>
      </c>
      <c r="G144" s="6" t="s">
        <v>599</v>
      </c>
      <c r="H144" s="6" t="s">
        <v>65</v>
      </c>
      <c r="I144" s="6" t="s">
        <v>89</v>
      </c>
      <c r="J144" s="6" t="s">
        <v>600</v>
      </c>
      <c r="K144">
        <v>7</v>
      </c>
      <c r="L144" s="6" t="s">
        <v>81</v>
      </c>
      <c r="M144" s="6" t="s">
        <v>38</v>
      </c>
      <c r="N144">
        <v>1363.85</v>
      </c>
    </row>
    <row r="145" spans="1:14" x14ac:dyDescent="0.35">
      <c r="A145" s="6" t="s">
        <v>601</v>
      </c>
      <c r="B145" s="7">
        <v>45456</v>
      </c>
      <c r="C145" s="6" t="s">
        <v>602</v>
      </c>
      <c r="D145" s="6" t="s">
        <v>41</v>
      </c>
      <c r="E145">
        <v>4</v>
      </c>
      <c r="F145">
        <v>400.07</v>
      </c>
      <c r="G145" s="6" t="s">
        <v>603</v>
      </c>
      <c r="H145" s="6" t="s">
        <v>27</v>
      </c>
      <c r="I145" s="6" t="s">
        <v>19</v>
      </c>
      <c r="J145" s="6" t="s">
        <v>604</v>
      </c>
      <c r="K145">
        <v>5</v>
      </c>
      <c r="L145" s="6" t="s">
        <v>4283</v>
      </c>
      <c r="M145" s="6" t="s">
        <v>29</v>
      </c>
      <c r="N145">
        <v>1600.28</v>
      </c>
    </row>
    <row r="146" spans="1:14" x14ac:dyDescent="0.35">
      <c r="A146" s="6" t="s">
        <v>605</v>
      </c>
      <c r="B146" s="7">
        <v>45142</v>
      </c>
      <c r="C146" s="6" t="s">
        <v>606</v>
      </c>
      <c r="D146" s="6" t="s">
        <v>73</v>
      </c>
      <c r="E146">
        <v>5</v>
      </c>
      <c r="F146">
        <v>219.78</v>
      </c>
      <c r="G146" s="6" t="s">
        <v>161</v>
      </c>
      <c r="H146" s="6" t="s">
        <v>34</v>
      </c>
      <c r="I146" s="6" t="s">
        <v>89</v>
      </c>
      <c r="J146" s="6" t="s">
        <v>607</v>
      </c>
      <c r="K146">
        <v>8</v>
      </c>
      <c r="L146" s="6" t="s">
        <v>4283</v>
      </c>
      <c r="M146" s="6" t="s">
        <v>45</v>
      </c>
      <c r="N146">
        <v>1098.9000000000001</v>
      </c>
    </row>
    <row r="147" spans="1:14" x14ac:dyDescent="0.35">
      <c r="A147" s="6" t="s">
        <v>608</v>
      </c>
      <c r="B147" s="7">
        <v>45353</v>
      </c>
      <c r="C147" s="6" t="s">
        <v>609</v>
      </c>
      <c r="D147" s="6" t="s">
        <v>48</v>
      </c>
      <c r="E147">
        <v>3</v>
      </c>
      <c r="F147">
        <v>146.91</v>
      </c>
      <c r="G147" s="6" t="s">
        <v>610</v>
      </c>
      <c r="H147" s="6" t="s">
        <v>34</v>
      </c>
      <c r="I147" s="6" t="s">
        <v>50</v>
      </c>
      <c r="J147" s="6" t="s">
        <v>611</v>
      </c>
      <c r="K147">
        <v>6</v>
      </c>
      <c r="L147" s="6" t="s">
        <v>37</v>
      </c>
      <c r="M147" s="6" t="s">
        <v>76</v>
      </c>
      <c r="N147">
        <v>440.73</v>
      </c>
    </row>
    <row r="148" spans="1:14" x14ac:dyDescent="0.35">
      <c r="A148" s="6" t="s">
        <v>612</v>
      </c>
      <c r="B148" s="7">
        <v>45777</v>
      </c>
      <c r="C148" s="6" t="s">
        <v>613</v>
      </c>
      <c r="D148" s="6" t="s">
        <v>32</v>
      </c>
      <c r="E148">
        <v>2</v>
      </c>
      <c r="F148">
        <v>411.49</v>
      </c>
      <c r="G148" s="6" t="s">
        <v>614</v>
      </c>
      <c r="H148" s="6" t="s">
        <v>34</v>
      </c>
      <c r="I148" s="6" t="s">
        <v>43</v>
      </c>
      <c r="J148" s="6" t="s">
        <v>615</v>
      </c>
      <c r="K148">
        <v>4</v>
      </c>
      <c r="L148" s="6" t="s">
        <v>4283</v>
      </c>
      <c r="M148" s="6" t="s">
        <v>22</v>
      </c>
      <c r="N148">
        <v>822.98</v>
      </c>
    </row>
    <row r="149" spans="1:14" x14ac:dyDescent="0.35">
      <c r="A149" s="6" t="s">
        <v>616</v>
      </c>
      <c r="B149" s="7">
        <v>45783</v>
      </c>
      <c r="C149" s="6" t="s">
        <v>617</v>
      </c>
      <c r="D149" s="6" t="s">
        <v>58</v>
      </c>
      <c r="E149">
        <v>2</v>
      </c>
      <c r="F149">
        <v>465.18</v>
      </c>
      <c r="G149" s="6" t="s">
        <v>618</v>
      </c>
      <c r="H149" s="6" t="s">
        <v>34</v>
      </c>
      <c r="I149" s="6" t="s">
        <v>35</v>
      </c>
      <c r="J149" s="6" t="s">
        <v>619</v>
      </c>
      <c r="K149">
        <v>2</v>
      </c>
      <c r="L149" s="6" t="s">
        <v>21</v>
      </c>
      <c r="M149" s="6" t="s">
        <v>76</v>
      </c>
      <c r="N149">
        <v>930.36</v>
      </c>
    </row>
    <row r="150" spans="1:14" x14ac:dyDescent="0.35">
      <c r="A150" s="6" t="s">
        <v>620</v>
      </c>
      <c r="B150" s="7">
        <v>45641</v>
      </c>
      <c r="C150" s="6" t="s">
        <v>621</v>
      </c>
      <c r="D150" s="6" t="s">
        <v>25</v>
      </c>
      <c r="E150">
        <v>2</v>
      </c>
      <c r="F150">
        <v>319.91000000000003</v>
      </c>
      <c r="G150" s="6" t="s">
        <v>622</v>
      </c>
      <c r="H150" s="6" t="s">
        <v>34</v>
      </c>
      <c r="I150" s="6" t="s">
        <v>35</v>
      </c>
      <c r="J150" s="6" t="s">
        <v>623</v>
      </c>
      <c r="K150">
        <v>3</v>
      </c>
      <c r="L150" s="6" t="s">
        <v>81</v>
      </c>
      <c r="M150" s="6" t="s">
        <v>76</v>
      </c>
      <c r="N150">
        <v>639.82000000000005</v>
      </c>
    </row>
    <row r="151" spans="1:14" x14ac:dyDescent="0.35">
      <c r="A151" s="6" t="s">
        <v>624</v>
      </c>
      <c r="B151" s="7">
        <v>45287</v>
      </c>
      <c r="C151" s="6" t="s">
        <v>625</v>
      </c>
      <c r="D151" s="6" t="s">
        <v>58</v>
      </c>
      <c r="E151">
        <v>1</v>
      </c>
      <c r="F151">
        <v>217.56</v>
      </c>
      <c r="G151" s="6" t="s">
        <v>626</v>
      </c>
      <c r="H151" s="6" t="s">
        <v>18</v>
      </c>
      <c r="I151" s="6" t="s">
        <v>50</v>
      </c>
      <c r="J151" s="6" t="s">
        <v>627</v>
      </c>
      <c r="K151">
        <v>3</v>
      </c>
      <c r="L151" s="6" t="s">
        <v>4283</v>
      </c>
      <c r="M151" s="6" t="s">
        <v>45</v>
      </c>
      <c r="N151">
        <v>217.56</v>
      </c>
    </row>
    <row r="152" spans="1:14" x14ac:dyDescent="0.35">
      <c r="A152" s="6" t="s">
        <v>628</v>
      </c>
      <c r="B152" s="7">
        <v>45273</v>
      </c>
      <c r="C152" s="6" t="s">
        <v>629</v>
      </c>
      <c r="D152" s="6" t="s">
        <v>25</v>
      </c>
      <c r="E152">
        <v>2</v>
      </c>
      <c r="F152">
        <v>105.57</v>
      </c>
      <c r="G152" s="6" t="s">
        <v>630</v>
      </c>
      <c r="H152" s="6" t="s">
        <v>18</v>
      </c>
      <c r="I152" s="6" t="s">
        <v>43</v>
      </c>
      <c r="J152" s="6" t="s">
        <v>631</v>
      </c>
      <c r="K152">
        <v>5</v>
      </c>
      <c r="L152" s="6" t="s">
        <v>81</v>
      </c>
      <c r="M152" s="6" t="s">
        <v>76</v>
      </c>
      <c r="N152">
        <v>211.14</v>
      </c>
    </row>
    <row r="153" spans="1:14" x14ac:dyDescent="0.35">
      <c r="A153" s="6" t="s">
        <v>632</v>
      </c>
      <c r="B153" s="7">
        <v>45261</v>
      </c>
      <c r="C153" s="6" t="s">
        <v>633</v>
      </c>
      <c r="D153" s="6" t="s">
        <v>48</v>
      </c>
      <c r="E153">
        <v>5</v>
      </c>
      <c r="F153">
        <v>444.76</v>
      </c>
      <c r="G153" s="6" t="s">
        <v>634</v>
      </c>
      <c r="H153" s="6" t="s">
        <v>18</v>
      </c>
      <c r="I153" s="6" t="s">
        <v>43</v>
      </c>
      <c r="J153" s="6" t="s">
        <v>635</v>
      </c>
      <c r="K153">
        <v>7</v>
      </c>
      <c r="L153" s="6" t="s">
        <v>4283</v>
      </c>
      <c r="M153" s="6" t="s">
        <v>38</v>
      </c>
      <c r="N153">
        <v>2223.8000000000002</v>
      </c>
    </row>
    <row r="154" spans="1:14" x14ac:dyDescent="0.35">
      <c r="A154" s="6" t="s">
        <v>636</v>
      </c>
      <c r="B154" s="7">
        <v>45659</v>
      </c>
      <c r="C154" s="6" t="s">
        <v>637</v>
      </c>
      <c r="D154" s="6" t="s">
        <v>41</v>
      </c>
      <c r="E154">
        <v>2</v>
      </c>
      <c r="F154">
        <v>399.04</v>
      </c>
      <c r="G154" s="6" t="s">
        <v>638</v>
      </c>
      <c r="H154" s="6" t="s">
        <v>65</v>
      </c>
      <c r="I154" s="6" t="s">
        <v>35</v>
      </c>
      <c r="J154" s="6" t="s">
        <v>639</v>
      </c>
      <c r="K154">
        <v>3</v>
      </c>
      <c r="L154" s="6" t="s">
        <v>37</v>
      </c>
      <c r="M154" s="6" t="s">
        <v>29</v>
      </c>
      <c r="N154">
        <v>798.08</v>
      </c>
    </row>
    <row r="155" spans="1:14" x14ac:dyDescent="0.35">
      <c r="A155" s="6" t="s">
        <v>640</v>
      </c>
      <c r="B155" s="7">
        <v>45644</v>
      </c>
      <c r="C155" s="6" t="s">
        <v>641</v>
      </c>
      <c r="D155" s="6" t="s">
        <v>41</v>
      </c>
      <c r="E155">
        <v>4</v>
      </c>
      <c r="F155">
        <v>534.48</v>
      </c>
      <c r="G155" s="6" t="s">
        <v>642</v>
      </c>
      <c r="H155" s="6" t="s">
        <v>27</v>
      </c>
      <c r="I155" s="6" t="s">
        <v>43</v>
      </c>
      <c r="J155" s="6" t="s">
        <v>643</v>
      </c>
      <c r="K155">
        <v>9</v>
      </c>
      <c r="L155" s="6" t="s">
        <v>81</v>
      </c>
      <c r="M155" s="6" t="s">
        <v>22</v>
      </c>
      <c r="N155">
        <v>2137.92</v>
      </c>
    </row>
    <row r="156" spans="1:14" x14ac:dyDescent="0.35">
      <c r="A156" s="6" t="s">
        <v>644</v>
      </c>
      <c r="B156" s="7">
        <v>45127</v>
      </c>
      <c r="C156" s="6" t="s">
        <v>645</v>
      </c>
      <c r="D156" s="6" t="s">
        <v>25</v>
      </c>
      <c r="E156">
        <v>4</v>
      </c>
      <c r="F156">
        <v>408.21</v>
      </c>
      <c r="G156" s="6" t="s">
        <v>525</v>
      </c>
      <c r="H156" s="6" t="s">
        <v>34</v>
      </c>
      <c r="I156" s="6" t="s">
        <v>89</v>
      </c>
      <c r="J156" s="6" t="s">
        <v>646</v>
      </c>
      <c r="K156">
        <v>9</v>
      </c>
      <c r="L156" s="6" t="s">
        <v>4283</v>
      </c>
      <c r="M156" s="6" t="s">
        <v>22</v>
      </c>
      <c r="N156">
        <v>1632.84</v>
      </c>
    </row>
    <row r="157" spans="1:14" x14ac:dyDescent="0.35">
      <c r="A157" s="6" t="s">
        <v>647</v>
      </c>
      <c r="B157" s="7">
        <v>44984</v>
      </c>
      <c r="C157" s="6" t="s">
        <v>648</v>
      </c>
      <c r="D157" s="6" t="s">
        <v>25</v>
      </c>
      <c r="E157">
        <v>1</v>
      </c>
      <c r="F157">
        <v>424.4</v>
      </c>
      <c r="G157" s="6" t="s">
        <v>238</v>
      </c>
      <c r="H157" s="6" t="s">
        <v>27</v>
      </c>
      <c r="I157" s="6" t="s">
        <v>19</v>
      </c>
      <c r="J157" s="6" t="s">
        <v>649</v>
      </c>
      <c r="K157">
        <v>6</v>
      </c>
      <c r="L157" s="6" t="s">
        <v>81</v>
      </c>
      <c r="M157" s="6" t="s">
        <v>29</v>
      </c>
      <c r="N157">
        <v>424.4</v>
      </c>
    </row>
    <row r="158" spans="1:14" x14ac:dyDescent="0.35">
      <c r="A158" s="6" t="s">
        <v>650</v>
      </c>
      <c r="B158" s="7">
        <v>45604</v>
      </c>
      <c r="C158" s="6" t="s">
        <v>651</v>
      </c>
      <c r="D158" s="6" t="s">
        <v>41</v>
      </c>
      <c r="E158">
        <v>2</v>
      </c>
      <c r="F158">
        <v>269.83</v>
      </c>
      <c r="G158" s="6" t="s">
        <v>652</v>
      </c>
      <c r="H158" s="6" t="s">
        <v>27</v>
      </c>
      <c r="I158" s="6" t="s">
        <v>50</v>
      </c>
      <c r="J158" s="6" t="s">
        <v>653</v>
      </c>
      <c r="K158">
        <v>4</v>
      </c>
      <c r="L158" s="6" t="s">
        <v>21</v>
      </c>
      <c r="M158" s="6" t="s">
        <v>38</v>
      </c>
      <c r="N158">
        <v>539.66</v>
      </c>
    </row>
    <row r="159" spans="1:14" x14ac:dyDescent="0.35">
      <c r="A159" s="6" t="s">
        <v>654</v>
      </c>
      <c r="B159" s="7">
        <v>45709</v>
      </c>
      <c r="C159" s="6" t="s">
        <v>655</v>
      </c>
      <c r="D159" s="6" t="s">
        <v>16</v>
      </c>
      <c r="E159">
        <v>2</v>
      </c>
      <c r="F159">
        <v>564.58000000000004</v>
      </c>
      <c r="G159" s="6" t="s">
        <v>565</v>
      </c>
      <c r="H159" s="6" t="s">
        <v>27</v>
      </c>
      <c r="I159" s="6" t="s">
        <v>43</v>
      </c>
      <c r="J159" s="6" t="s">
        <v>656</v>
      </c>
      <c r="K159">
        <v>4</v>
      </c>
      <c r="L159" s="6" t="s">
        <v>81</v>
      </c>
      <c r="M159" s="6" t="s">
        <v>45</v>
      </c>
      <c r="N159">
        <v>1129.1600000000001</v>
      </c>
    </row>
    <row r="160" spans="1:14" x14ac:dyDescent="0.35">
      <c r="A160" s="6" t="s">
        <v>657</v>
      </c>
      <c r="B160" s="7">
        <v>45428</v>
      </c>
      <c r="C160" s="6" t="s">
        <v>658</v>
      </c>
      <c r="D160" s="6" t="s">
        <v>32</v>
      </c>
      <c r="E160">
        <v>1</v>
      </c>
      <c r="F160">
        <v>331.06</v>
      </c>
      <c r="G160" s="6" t="s">
        <v>659</v>
      </c>
      <c r="H160" s="6" t="s">
        <v>34</v>
      </c>
      <c r="I160" s="6" t="s">
        <v>89</v>
      </c>
      <c r="J160" s="6" t="s">
        <v>660</v>
      </c>
      <c r="K160">
        <v>5</v>
      </c>
      <c r="L160" s="6" t="s">
        <v>81</v>
      </c>
      <c r="M160" s="6" t="s">
        <v>22</v>
      </c>
      <c r="N160">
        <v>331.06</v>
      </c>
    </row>
    <row r="161" spans="1:14" x14ac:dyDescent="0.35">
      <c r="A161" s="6" t="s">
        <v>661</v>
      </c>
      <c r="B161" s="7">
        <v>45230</v>
      </c>
      <c r="C161" s="6" t="s">
        <v>662</v>
      </c>
      <c r="D161" s="6" t="s">
        <v>48</v>
      </c>
      <c r="E161">
        <v>1</v>
      </c>
      <c r="F161">
        <v>299.35000000000002</v>
      </c>
      <c r="G161" s="6" t="s">
        <v>663</v>
      </c>
      <c r="H161" s="6" t="s">
        <v>34</v>
      </c>
      <c r="I161" s="6" t="s">
        <v>35</v>
      </c>
      <c r="J161" s="6" t="s">
        <v>664</v>
      </c>
      <c r="K161">
        <v>5</v>
      </c>
      <c r="L161" s="6" t="s">
        <v>81</v>
      </c>
      <c r="M161" s="6" t="s">
        <v>38</v>
      </c>
      <c r="N161">
        <v>299.35000000000002</v>
      </c>
    </row>
    <row r="162" spans="1:14" x14ac:dyDescent="0.35">
      <c r="A162" s="6" t="s">
        <v>665</v>
      </c>
      <c r="B162" s="7">
        <v>44974</v>
      </c>
      <c r="C162" s="6" t="s">
        <v>666</v>
      </c>
      <c r="D162" s="6" t="s">
        <v>16</v>
      </c>
      <c r="E162">
        <v>4</v>
      </c>
      <c r="F162">
        <v>101.32</v>
      </c>
      <c r="G162" s="6" t="s">
        <v>667</v>
      </c>
      <c r="H162" s="6" t="s">
        <v>65</v>
      </c>
      <c r="I162" s="6" t="s">
        <v>89</v>
      </c>
      <c r="J162" s="6" t="s">
        <v>668</v>
      </c>
      <c r="K162">
        <v>7</v>
      </c>
      <c r="L162" s="6" t="s">
        <v>4283</v>
      </c>
      <c r="M162" s="6" t="s">
        <v>29</v>
      </c>
      <c r="N162">
        <v>405.28</v>
      </c>
    </row>
    <row r="163" spans="1:14" x14ac:dyDescent="0.35">
      <c r="A163" s="6" t="s">
        <v>669</v>
      </c>
      <c r="B163" s="7">
        <v>45380</v>
      </c>
      <c r="C163" s="6" t="s">
        <v>670</v>
      </c>
      <c r="D163" s="6" t="s">
        <v>16</v>
      </c>
      <c r="E163">
        <v>1</v>
      </c>
      <c r="F163">
        <v>211.14</v>
      </c>
      <c r="G163" s="6" t="s">
        <v>553</v>
      </c>
      <c r="H163" s="6" t="s">
        <v>34</v>
      </c>
      <c r="I163" s="6" t="s">
        <v>35</v>
      </c>
      <c r="J163" s="6" t="s">
        <v>671</v>
      </c>
      <c r="K163">
        <v>1</v>
      </c>
      <c r="L163" s="6" t="s">
        <v>21</v>
      </c>
      <c r="M163" s="6" t="s">
        <v>45</v>
      </c>
      <c r="N163">
        <v>211.14</v>
      </c>
    </row>
    <row r="164" spans="1:14" x14ac:dyDescent="0.35">
      <c r="A164" s="6" t="s">
        <v>672</v>
      </c>
      <c r="B164" s="7">
        <v>45134</v>
      </c>
      <c r="C164" s="6" t="s">
        <v>673</v>
      </c>
      <c r="D164" s="6" t="s">
        <v>41</v>
      </c>
      <c r="E164">
        <v>3</v>
      </c>
      <c r="F164">
        <v>65.86</v>
      </c>
      <c r="G164" s="6" t="s">
        <v>335</v>
      </c>
      <c r="H164" s="6" t="s">
        <v>27</v>
      </c>
      <c r="I164" s="6" t="s">
        <v>89</v>
      </c>
      <c r="J164" s="6" t="s">
        <v>674</v>
      </c>
      <c r="K164">
        <v>8</v>
      </c>
      <c r="L164" s="6" t="s">
        <v>81</v>
      </c>
      <c r="M164" s="6" t="s">
        <v>76</v>
      </c>
      <c r="N164">
        <v>197.58</v>
      </c>
    </row>
    <row r="165" spans="1:14" x14ac:dyDescent="0.35">
      <c r="A165" s="6" t="s">
        <v>675</v>
      </c>
      <c r="B165" s="7">
        <v>45832</v>
      </c>
      <c r="C165" s="6" t="s">
        <v>676</v>
      </c>
      <c r="D165" s="6" t="s">
        <v>32</v>
      </c>
      <c r="E165">
        <v>1</v>
      </c>
      <c r="F165">
        <v>641.39</v>
      </c>
      <c r="G165" s="6" t="s">
        <v>677</v>
      </c>
      <c r="H165" s="6" t="s">
        <v>27</v>
      </c>
      <c r="I165" s="6" t="s">
        <v>35</v>
      </c>
      <c r="J165" s="6" t="s">
        <v>678</v>
      </c>
      <c r="K165">
        <v>1</v>
      </c>
      <c r="L165" s="6" t="s">
        <v>4283</v>
      </c>
      <c r="M165" s="6" t="s">
        <v>29</v>
      </c>
      <c r="N165">
        <v>641.39</v>
      </c>
    </row>
    <row r="166" spans="1:14" x14ac:dyDescent="0.35">
      <c r="A166" s="6" t="s">
        <v>679</v>
      </c>
      <c r="B166" s="7">
        <v>45288</v>
      </c>
      <c r="C166" s="6" t="s">
        <v>680</v>
      </c>
      <c r="D166" s="6" t="s">
        <v>73</v>
      </c>
      <c r="E166">
        <v>5</v>
      </c>
      <c r="F166">
        <v>536.58000000000004</v>
      </c>
      <c r="G166" s="6" t="s">
        <v>681</v>
      </c>
      <c r="H166" s="6" t="s">
        <v>60</v>
      </c>
      <c r="I166" s="6" t="s">
        <v>89</v>
      </c>
      <c r="J166" s="6" t="s">
        <v>682</v>
      </c>
      <c r="K166">
        <v>5</v>
      </c>
      <c r="L166" s="6" t="s">
        <v>21</v>
      </c>
      <c r="M166" s="6" t="s">
        <v>76</v>
      </c>
      <c r="N166">
        <v>2682.9</v>
      </c>
    </row>
    <row r="167" spans="1:14" x14ac:dyDescent="0.35">
      <c r="A167" s="6" t="s">
        <v>683</v>
      </c>
      <c r="B167" s="7">
        <v>45549</v>
      </c>
      <c r="C167" s="6" t="s">
        <v>684</v>
      </c>
      <c r="D167" s="6" t="s">
        <v>16</v>
      </c>
      <c r="E167">
        <v>2</v>
      </c>
      <c r="F167">
        <v>500.29</v>
      </c>
      <c r="G167" s="6" t="s">
        <v>685</v>
      </c>
      <c r="H167" s="6" t="s">
        <v>27</v>
      </c>
      <c r="I167" s="6" t="s">
        <v>43</v>
      </c>
      <c r="J167" s="6" t="s">
        <v>686</v>
      </c>
      <c r="K167">
        <v>7</v>
      </c>
      <c r="L167" s="6" t="s">
        <v>81</v>
      </c>
      <c r="M167" s="6" t="s">
        <v>76</v>
      </c>
      <c r="N167">
        <v>1000.58</v>
      </c>
    </row>
    <row r="168" spans="1:14" x14ac:dyDescent="0.35">
      <c r="A168" s="6" t="s">
        <v>687</v>
      </c>
      <c r="B168" s="7">
        <v>45720</v>
      </c>
      <c r="C168" s="6" t="s">
        <v>688</v>
      </c>
      <c r="D168" s="6" t="s">
        <v>41</v>
      </c>
      <c r="E168">
        <v>3</v>
      </c>
      <c r="F168">
        <v>86.29</v>
      </c>
      <c r="G168" s="6" t="s">
        <v>257</v>
      </c>
      <c r="H168" s="6" t="s">
        <v>65</v>
      </c>
      <c r="I168" s="6" t="s">
        <v>50</v>
      </c>
      <c r="J168" s="6" t="s">
        <v>689</v>
      </c>
      <c r="K168">
        <v>6</v>
      </c>
      <c r="L168" s="6" t="s">
        <v>81</v>
      </c>
      <c r="M168" s="6" t="s">
        <v>22</v>
      </c>
      <c r="N168">
        <v>258.87</v>
      </c>
    </row>
    <row r="169" spans="1:14" x14ac:dyDescent="0.35">
      <c r="A169" s="6" t="s">
        <v>690</v>
      </c>
      <c r="B169" s="7">
        <v>45073</v>
      </c>
      <c r="C169" s="6" t="s">
        <v>691</v>
      </c>
      <c r="D169" s="6" t="s">
        <v>41</v>
      </c>
      <c r="E169">
        <v>2</v>
      </c>
      <c r="F169">
        <v>384.14</v>
      </c>
      <c r="G169" s="6" t="s">
        <v>692</v>
      </c>
      <c r="H169" s="6" t="s">
        <v>27</v>
      </c>
      <c r="I169" s="6" t="s">
        <v>43</v>
      </c>
      <c r="J169" s="6" t="s">
        <v>693</v>
      </c>
      <c r="K169">
        <v>2</v>
      </c>
      <c r="L169" s="6" t="s">
        <v>81</v>
      </c>
      <c r="M169" s="6" t="s">
        <v>38</v>
      </c>
      <c r="N169">
        <v>768.28</v>
      </c>
    </row>
    <row r="170" spans="1:14" x14ac:dyDescent="0.35">
      <c r="A170" s="6" t="s">
        <v>694</v>
      </c>
      <c r="B170" s="7">
        <v>45661</v>
      </c>
      <c r="C170" s="6" t="s">
        <v>695</v>
      </c>
      <c r="D170" s="6" t="s">
        <v>48</v>
      </c>
      <c r="E170">
        <v>1</v>
      </c>
      <c r="F170">
        <v>594.96</v>
      </c>
      <c r="G170" s="6" t="s">
        <v>696</v>
      </c>
      <c r="H170" s="6" t="s">
        <v>65</v>
      </c>
      <c r="I170" s="6" t="s">
        <v>43</v>
      </c>
      <c r="J170" s="6" t="s">
        <v>697</v>
      </c>
      <c r="K170">
        <v>6</v>
      </c>
      <c r="L170" s="6" t="s">
        <v>4283</v>
      </c>
      <c r="M170" s="6" t="s">
        <v>45</v>
      </c>
      <c r="N170">
        <v>594.96</v>
      </c>
    </row>
    <row r="171" spans="1:14" x14ac:dyDescent="0.35">
      <c r="A171" s="6" t="s">
        <v>698</v>
      </c>
      <c r="B171" s="7">
        <v>45389</v>
      </c>
      <c r="C171" s="6" t="s">
        <v>699</v>
      </c>
      <c r="D171" s="6" t="s">
        <v>48</v>
      </c>
      <c r="E171">
        <v>1</v>
      </c>
      <c r="F171">
        <v>427.82</v>
      </c>
      <c r="G171" s="6" t="s">
        <v>700</v>
      </c>
      <c r="H171" s="6" t="s">
        <v>27</v>
      </c>
      <c r="I171" s="6" t="s">
        <v>50</v>
      </c>
      <c r="J171" s="6" t="s">
        <v>701</v>
      </c>
      <c r="K171">
        <v>2</v>
      </c>
      <c r="L171" s="6" t="s">
        <v>81</v>
      </c>
      <c r="M171" s="6" t="s">
        <v>38</v>
      </c>
      <c r="N171">
        <v>427.82</v>
      </c>
    </row>
    <row r="172" spans="1:14" x14ac:dyDescent="0.35">
      <c r="A172" s="6" t="s">
        <v>702</v>
      </c>
      <c r="B172" s="7">
        <v>45751</v>
      </c>
      <c r="C172" s="6" t="s">
        <v>703</v>
      </c>
      <c r="D172" s="6" t="s">
        <v>73</v>
      </c>
      <c r="E172">
        <v>4</v>
      </c>
      <c r="F172">
        <v>662.94</v>
      </c>
      <c r="G172" s="6" t="s">
        <v>704</v>
      </c>
      <c r="H172" s="6" t="s">
        <v>65</v>
      </c>
      <c r="I172" s="6" t="s">
        <v>35</v>
      </c>
      <c r="J172" s="6" t="s">
        <v>705</v>
      </c>
      <c r="K172">
        <v>8</v>
      </c>
      <c r="L172" s="6" t="s">
        <v>21</v>
      </c>
      <c r="M172" s="6" t="s">
        <v>22</v>
      </c>
      <c r="N172">
        <v>2651.76</v>
      </c>
    </row>
    <row r="173" spans="1:14" x14ac:dyDescent="0.35">
      <c r="A173" s="6" t="s">
        <v>706</v>
      </c>
      <c r="B173" s="7">
        <v>45153</v>
      </c>
      <c r="C173" s="6" t="s">
        <v>707</v>
      </c>
      <c r="D173" s="6" t="s">
        <v>32</v>
      </c>
      <c r="E173">
        <v>2</v>
      </c>
      <c r="F173">
        <v>148.22</v>
      </c>
      <c r="G173" s="6" t="s">
        <v>708</v>
      </c>
      <c r="H173" s="6" t="s">
        <v>34</v>
      </c>
      <c r="I173" s="6" t="s">
        <v>50</v>
      </c>
      <c r="J173" s="6" t="s">
        <v>709</v>
      </c>
      <c r="K173">
        <v>7</v>
      </c>
      <c r="L173" s="6" t="s">
        <v>81</v>
      </c>
      <c r="M173" s="6" t="s">
        <v>22</v>
      </c>
      <c r="N173">
        <v>296.44</v>
      </c>
    </row>
    <row r="174" spans="1:14" x14ac:dyDescent="0.35">
      <c r="A174" s="6" t="s">
        <v>710</v>
      </c>
      <c r="B174" s="7">
        <v>45753</v>
      </c>
      <c r="C174" s="6" t="s">
        <v>711</v>
      </c>
      <c r="D174" s="6" t="s">
        <v>48</v>
      </c>
      <c r="E174">
        <v>1</v>
      </c>
      <c r="F174">
        <v>254.12</v>
      </c>
      <c r="G174" s="6" t="s">
        <v>541</v>
      </c>
      <c r="H174" s="6" t="s">
        <v>27</v>
      </c>
      <c r="I174" s="6" t="s">
        <v>50</v>
      </c>
      <c r="J174" s="6" t="s">
        <v>712</v>
      </c>
      <c r="K174">
        <v>1</v>
      </c>
      <c r="L174" s="6" t="s">
        <v>81</v>
      </c>
      <c r="M174" s="6" t="s">
        <v>38</v>
      </c>
      <c r="N174">
        <v>254.12</v>
      </c>
    </row>
    <row r="175" spans="1:14" x14ac:dyDescent="0.35">
      <c r="A175" s="6" t="s">
        <v>713</v>
      </c>
      <c r="B175" s="7">
        <v>45375</v>
      </c>
      <c r="C175" s="6" t="s">
        <v>714</v>
      </c>
      <c r="D175" s="6" t="s">
        <v>25</v>
      </c>
      <c r="E175">
        <v>3</v>
      </c>
      <c r="F175">
        <v>664.46</v>
      </c>
      <c r="G175" s="6" t="s">
        <v>715</v>
      </c>
      <c r="H175" s="6" t="s">
        <v>27</v>
      </c>
      <c r="I175" s="6" t="s">
        <v>50</v>
      </c>
      <c r="J175" s="6" t="s">
        <v>716</v>
      </c>
      <c r="K175">
        <v>4</v>
      </c>
      <c r="L175" s="6" t="s">
        <v>37</v>
      </c>
      <c r="M175" s="6" t="s">
        <v>76</v>
      </c>
      <c r="N175">
        <v>1993.38</v>
      </c>
    </row>
    <row r="176" spans="1:14" x14ac:dyDescent="0.35">
      <c r="A176" s="6" t="s">
        <v>717</v>
      </c>
      <c r="B176" s="7">
        <v>45398</v>
      </c>
      <c r="C176" s="6" t="s">
        <v>718</v>
      </c>
      <c r="D176" s="6" t="s">
        <v>48</v>
      </c>
      <c r="E176">
        <v>4</v>
      </c>
      <c r="F176">
        <v>600.80999999999995</v>
      </c>
      <c r="G176" s="6" t="s">
        <v>719</v>
      </c>
      <c r="H176" s="6" t="s">
        <v>18</v>
      </c>
      <c r="I176" s="6" t="s">
        <v>50</v>
      </c>
      <c r="J176" s="6" t="s">
        <v>720</v>
      </c>
      <c r="K176">
        <v>9</v>
      </c>
      <c r="L176" s="6" t="s">
        <v>21</v>
      </c>
      <c r="M176" s="6" t="s">
        <v>38</v>
      </c>
      <c r="N176">
        <v>2403.2399999999998</v>
      </c>
    </row>
    <row r="177" spans="1:14" x14ac:dyDescent="0.35">
      <c r="A177" s="6" t="s">
        <v>721</v>
      </c>
      <c r="B177" s="7">
        <v>45696</v>
      </c>
      <c r="C177" s="6" t="s">
        <v>722</v>
      </c>
      <c r="D177" s="6" t="s">
        <v>41</v>
      </c>
      <c r="E177">
        <v>5</v>
      </c>
      <c r="F177">
        <v>68.34</v>
      </c>
      <c r="G177" s="6" t="s">
        <v>723</v>
      </c>
      <c r="H177" s="6" t="s">
        <v>18</v>
      </c>
      <c r="I177" s="6" t="s">
        <v>89</v>
      </c>
      <c r="J177" s="6" t="s">
        <v>724</v>
      </c>
      <c r="K177">
        <v>6</v>
      </c>
      <c r="L177" s="6" t="s">
        <v>81</v>
      </c>
      <c r="M177" s="6" t="s">
        <v>29</v>
      </c>
      <c r="N177">
        <v>341.7</v>
      </c>
    </row>
    <row r="178" spans="1:14" x14ac:dyDescent="0.35">
      <c r="A178" s="6" t="s">
        <v>725</v>
      </c>
      <c r="B178" s="7">
        <v>45836</v>
      </c>
      <c r="C178" s="6" t="s">
        <v>726</v>
      </c>
      <c r="D178" s="6" t="s">
        <v>32</v>
      </c>
      <c r="E178">
        <v>4</v>
      </c>
      <c r="F178">
        <v>430.83</v>
      </c>
      <c r="G178" s="6" t="s">
        <v>727</v>
      </c>
      <c r="H178" s="6" t="s">
        <v>60</v>
      </c>
      <c r="I178" s="6" t="s">
        <v>89</v>
      </c>
      <c r="J178" s="6" t="s">
        <v>728</v>
      </c>
      <c r="K178">
        <v>8</v>
      </c>
      <c r="L178" s="6" t="s">
        <v>81</v>
      </c>
      <c r="M178" s="6" t="s">
        <v>29</v>
      </c>
      <c r="N178">
        <v>1723.32</v>
      </c>
    </row>
    <row r="179" spans="1:14" x14ac:dyDescent="0.35">
      <c r="A179" s="6" t="s">
        <v>729</v>
      </c>
      <c r="B179" s="7">
        <v>45143</v>
      </c>
      <c r="C179" s="6" t="s">
        <v>730</v>
      </c>
      <c r="D179" s="6" t="s">
        <v>41</v>
      </c>
      <c r="E179">
        <v>5</v>
      </c>
      <c r="F179">
        <v>431.69</v>
      </c>
      <c r="G179" s="6" t="s">
        <v>731</v>
      </c>
      <c r="H179" s="6" t="s">
        <v>34</v>
      </c>
      <c r="I179" s="6" t="s">
        <v>89</v>
      </c>
      <c r="J179" s="6" t="s">
        <v>732</v>
      </c>
      <c r="K179">
        <v>10</v>
      </c>
      <c r="L179" s="6" t="s">
        <v>4283</v>
      </c>
      <c r="M179" s="6" t="s">
        <v>45</v>
      </c>
      <c r="N179">
        <v>2158.4499999999998</v>
      </c>
    </row>
    <row r="180" spans="1:14" x14ac:dyDescent="0.35">
      <c r="A180" s="6" t="s">
        <v>733</v>
      </c>
      <c r="B180" s="7">
        <v>45393</v>
      </c>
      <c r="C180" s="6" t="s">
        <v>734</v>
      </c>
      <c r="D180" s="6" t="s">
        <v>41</v>
      </c>
      <c r="E180">
        <v>4</v>
      </c>
      <c r="F180">
        <v>512.05999999999995</v>
      </c>
      <c r="G180" s="6" t="s">
        <v>735</v>
      </c>
      <c r="H180" s="6" t="s">
        <v>27</v>
      </c>
      <c r="I180" s="6" t="s">
        <v>50</v>
      </c>
      <c r="J180" s="6" t="s">
        <v>736</v>
      </c>
      <c r="K180">
        <v>5</v>
      </c>
      <c r="L180" s="6" t="s">
        <v>21</v>
      </c>
      <c r="M180" s="6" t="s">
        <v>76</v>
      </c>
      <c r="N180">
        <v>2048.2399999999998</v>
      </c>
    </row>
    <row r="181" spans="1:14" x14ac:dyDescent="0.35">
      <c r="A181" s="6" t="s">
        <v>737</v>
      </c>
      <c r="B181" s="7">
        <v>45620</v>
      </c>
      <c r="C181" s="6" t="s">
        <v>738</v>
      </c>
      <c r="D181" s="6" t="s">
        <v>58</v>
      </c>
      <c r="E181">
        <v>3</v>
      </c>
      <c r="F181">
        <v>539.91</v>
      </c>
      <c r="G181" s="6" t="s">
        <v>739</v>
      </c>
      <c r="H181" s="6" t="s">
        <v>34</v>
      </c>
      <c r="I181" s="6" t="s">
        <v>50</v>
      </c>
      <c r="J181" s="6" t="s">
        <v>740</v>
      </c>
      <c r="K181">
        <v>8</v>
      </c>
      <c r="L181" s="6" t="s">
        <v>4283</v>
      </c>
      <c r="M181" s="6" t="s">
        <v>38</v>
      </c>
      <c r="N181">
        <v>1619.73</v>
      </c>
    </row>
    <row r="182" spans="1:14" x14ac:dyDescent="0.35">
      <c r="A182" s="6" t="s">
        <v>741</v>
      </c>
      <c r="B182" s="7">
        <v>45003</v>
      </c>
      <c r="C182" s="6" t="s">
        <v>742</v>
      </c>
      <c r="D182" s="6" t="s">
        <v>32</v>
      </c>
      <c r="E182">
        <v>5</v>
      </c>
      <c r="F182">
        <v>316.07</v>
      </c>
      <c r="G182" s="6" t="s">
        <v>743</v>
      </c>
      <c r="H182" s="6" t="s">
        <v>65</v>
      </c>
      <c r="I182" s="6" t="s">
        <v>43</v>
      </c>
      <c r="J182" s="6" t="s">
        <v>744</v>
      </c>
      <c r="K182">
        <v>10</v>
      </c>
      <c r="L182" s="6" t="s">
        <v>4283</v>
      </c>
      <c r="M182" s="6" t="s">
        <v>76</v>
      </c>
      <c r="N182">
        <v>1580.35</v>
      </c>
    </row>
    <row r="183" spans="1:14" x14ac:dyDescent="0.35">
      <c r="A183" s="6" t="s">
        <v>745</v>
      </c>
      <c r="B183" s="7">
        <v>45535</v>
      </c>
      <c r="C183" s="6" t="s">
        <v>746</v>
      </c>
      <c r="D183" s="6" t="s">
        <v>48</v>
      </c>
      <c r="E183">
        <v>5</v>
      </c>
      <c r="F183">
        <v>404.39</v>
      </c>
      <c r="G183" s="6" t="s">
        <v>747</v>
      </c>
      <c r="H183" s="6" t="s">
        <v>27</v>
      </c>
      <c r="I183" s="6" t="s">
        <v>19</v>
      </c>
      <c r="J183" s="6" t="s">
        <v>748</v>
      </c>
      <c r="K183">
        <v>10</v>
      </c>
      <c r="L183" s="6" t="s">
        <v>4283</v>
      </c>
      <c r="M183" s="6" t="s">
        <v>29</v>
      </c>
      <c r="N183">
        <v>2021.95</v>
      </c>
    </row>
    <row r="184" spans="1:14" x14ac:dyDescent="0.35">
      <c r="A184" s="6" t="s">
        <v>749</v>
      </c>
      <c r="B184" s="7">
        <v>45735</v>
      </c>
      <c r="C184" s="6" t="s">
        <v>750</v>
      </c>
      <c r="D184" s="6" t="s">
        <v>73</v>
      </c>
      <c r="E184">
        <v>1</v>
      </c>
      <c r="F184">
        <v>600.54</v>
      </c>
      <c r="G184" s="6" t="s">
        <v>751</v>
      </c>
      <c r="H184" s="6" t="s">
        <v>18</v>
      </c>
      <c r="I184" s="6" t="s">
        <v>89</v>
      </c>
      <c r="J184" s="6" t="s">
        <v>752</v>
      </c>
      <c r="K184">
        <v>4</v>
      </c>
      <c r="L184" s="6" t="s">
        <v>81</v>
      </c>
      <c r="M184" s="6" t="s">
        <v>76</v>
      </c>
      <c r="N184">
        <v>600.54</v>
      </c>
    </row>
    <row r="185" spans="1:14" x14ac:dyDescent="0.35">
      <c r="A185" s="6" t="s">
        <v>753</v>
      </c>
      <c r="B185" s="7">
        <v>45400</v>
      </c>
      <c r="C185" s="6" t="s">
        <v>754</v>
      </c>
      <c r="D185" s="6" t="s">
        <v>16</v>
      </c>
      <c r="E185">
        <v>5</v>
      </c>
      <c r="F185">
        <v>186.28</v>
      </c>
      <c r="G185" s="6" t="s">
        <v>755</v>
      </c>
      <c r="H185" s="6" t="s">
        <v>18</v>
      </c>
      <c r="I185" s="6" t="s">
        <v>50</v>
      </c>
      <c r="J185" s="6" t="s">
        <v>756</v>
      </c>
      <c r="K185">
        <v>8</v>
      </c>
      <c r="L185" s="6" t="s">
        <v>21</v>
      </c>
      <c r="M185" s="6" t="s">
        <v>38</v>
      </c>
      <c r="N185">
        <v>931.4</v>
      </c>
    </row>
    <row r="186" spans="1:14" x14ac:dyDescent="0.35">
      <c r="A186" s="6" t="s">
        <v>757</v>
      </c>
      <c r="B186" s="7">
        <v>45386</v>
      </c>
      <c r="C186" s="6" t="s">
        <v>758</v>
      </c>
      <c r="D186" s="6" t="s">
        <v>32</v>
      </c>
      <c r="E186">
        <v>4</v>
      </c>
      <c r="F186">
        <v>214.54</v>
      </c>
      <c r="G186" s="6" t="s">
        <v>759</v>
      </c>
      <c r="H186" s="6" t="s">
        <v>60</v>
      </c>
      <c r="I186" s="6" t="s">
        <v>35</v>
      </c>
      <c r="J186" s="6" t="s">
        <v>760</v>
      </c>
      <c r="K186">
        <v>7</v>
      </c>
      <c r="L186" s="6" t="s">
        <v>4283</v>
      </c>
      <c r="M186" s="6" t="s">
        <v>29</v>
      </c>
      <c r="N186">
        <v>858.16</v>
      </c>
    </row>
    <row r="187" spans="1:14" x14ac:dyDescent="0.35">
      <c r="A187" s="6" t="s">
        <v>761</v>
      </c>
      <c r="B187" s="7">
        <v>45690</v>
      </c>
      <c r="C187" s="6" t="s">
        <v>762</v>
      </c>
      <c r="D187" s="6" t="s">
        <v>58</v>
      </c>
      <c r="E187">
        <v>1</v>
      </c>
      <c r="F187">
        <v>210.7</v>
      </c>
      <c r="G187" s="6" t="s">
        <v>763</v>
      </c>
      <c r="H187" s="6" t="s">
        <v>27</v>
      </c>
      <c r="I187" s="6" t="s">
        <v>19</v>
      </c>
      <c r="J187" s="6" t="s">
        <v>764</v>
      </c>
      <c r="K187">
        <v>2</v>
      </c>
      <c r="L187" s="6" t="s">
        <v>81</v>
      </c>
      <c r="M187" s="6" t="s">
        <v>29</v>
      </c>
      <c r="N187">
        <v>210.7</v>
      </c>
    </row>
    <row r="188" spans="1:14" x14ac:dyDescent="0.35">
      <c r="A188" s="6" t="s">
        <v>765</v>
      </c>
      <c r="B188" s="7">
        <v>45267</v>
      </c>
      <c r="C188" s="6" t="s">
        <v>766</v>
      </c>
      <c r="D188" s="6" t="s">
        <v>25</v>
      </c>
      <c r="E188">
        <v>2</v>
      </c>
      <c r="F188">
        <v>133.55000000000001</v>
      </c>
      <c r="G188" s="6" t="s">
        <v>767</v>
      </c>
      <c r="H188" s="6" t="s">
        <v>65</v>
      </c>
      <c r="I188" s="6" t="s">
        <v>89</v>
      </c>
      <c r="J188" s="6" t="s">
        <v>768</v>
      </c>
      <c r="K188">
        <v>7</v>
      </c>
      <c r="L188" s="6" t="s">
        <v>37</v>
      </c>
      <c r="M188" s="6" t="s">
        <v>45</v>
      </c>
      <c r="N188">
        <v>267.10000000000002</v>
      </c>
    </row>
    <row r="189" spans="1:14" x14ac:dyDescent="0.35">
      <c r="A189" s="6" t="s">
        <v>769</v>
      </c>
      <c r="B189" s="7">
        <v>44965</v>
      </c>
      <c r="C189" s="6" t="s">
        <v>770</v>
      </c>
      <c r="D189" s="6" t="s">
        <v>41</v>
      </c>
      <c r="E189">
        <v>1</v>
      </c>
      <c r="F189">
        <v>590.87</v>
      </c>
      <c r="G189" s="6" t="s">
        <v>771</v>
      </c>
      <c r="H189" s="6" t="s">
        <v>60</v>
      </c>
      <c r="I189" s="6" t="s">
        <v>43</v>
      </c>
      <c r="J189" s="6" t="s">
        <v>772</v>
      </c>
      <c r="K189">
        <v>6</v>
      </c>
      <c r="L189" s="6" t="s">
        <v>37</v>
      </c>
      <c r="M189" s="6" t="s">
        <v>29</v>
      </c>
      <c r="N189">
        <v>590.87</v>
      </c>
    </row>
    <row r="190" spans="1:14" x14ac:dyDescent="0.35">
      <c r="A190" s="6" t="s">
        <v>773</v>
      </c>
      <c r="B190" s="7">
        <v>45731</v>
      </c>
      <c r="C190" s="6" t="s">
        <v>774</v>
      </c>
      <c r="D190" s="6" t="s">
        <v>41</v>
      </c>
      <c r="E190">
        <v>2</v>
      </c>
      <c r="F190">
        <v>363.91</v>
      </c>
      <c r="G190" s="6" t="s">
        <v>775</v>
      </c>
      <c r="H190" s="6" t="s">
        <v>60</v>
      </c>
      <c r="I190" s="6" t="s">
        <v>19</v>
      </c>
      <c r="J190" s="6" t="s">
        <v>776</v>
      </c>
      <c r="K190">
        <v>2</v>
      </c>
      <c r="L190" s="6" t="s">
        <v>37</v>
      </c>
      <c r="M190" s="6" t="s">
        <v>29</v>
      </c>
      <c r="N190">
        <v>727.82</v>
      </c>
    </row>
    <row r="191" spans="1:14" x14ac:dyDescent="0.35">
      <c r="A191" s="6" t="s">
        <v>777</v>
      </c>
      <c r="B191" s="7">
        <v>45112</v>
      </c>
      <c r="C191" s="6" t="s">
        <v>778</v>
      </c>
      <c r="D191" s="6" t="s">
        <v>48</v>
      </c>
      <c r="E191">
        <v>5</v>
      </c>
      <c r="F191">
        <v>429.45</v>
      </c>
      <c r="G191" s="6" t="s">
        <v>779</v>
      </c>
      <c r="H191" s="6" t="s">
        <v>60</v>
      </c>
      <c r="I191" s="6" t="s">
        <v>35</v>
      </c>
      <c r="J191" s="6" t="s">
        <v>780</v>
      </c>
      <c r="K191">
        <v>5</v>
      </c>
      <c r="L191" s="6" t="s">
        <v>81</v>
      </c>
      <c r="M191" s="6" t="s">
        <v>38</v>
      </c>
      <c r="N191">
        <v>2147.25</v>
      </c>
    </row>
    <row r="192" spans="1:14" x14ac:dyDescent="0.35">
      <c r="A192" s="6" t="s">
        <v>781</v>
      </c>
      <c r="B192" s="7">
        <v>45535</v>
      </c>
      <c r="C192" s="6" t="s">
        <v>782</v>
      </c>
      <c r="D192" s="6" t="s">
        <v>48</v>
      </c>
      <c r="E192">
        <v>3</v>
      </c>
      <c r="F192">
        <v>223.7</v>
      </c>
      <c r="G192" s="6" t="s">
        <v>783</v>
      </c>
      <c r="H192" s="6" t="s">
        <v>65</v>
      </c>
      <c r="I192" s="6" t="s">
        <v>43</v>
      </c>
      <c r="J192" s="6" t="s">
        <v>784</v>
      </c>
      <c r="K192">
        <v>3</v>
      </c>
      <c r="L192" s="6" t="s">
        <v>21</v>
      </c>
      <c r="M192" s="6" t="s">
        <v>38</v>
      </c>
      <c r="N192">
        <v>671.1</v>
      </c>
    </row>
    <row r="193" spans="1:14" x14ac:dyDescent="0.35">
      <c r="A193" s="6" t="s">
        <v>785</v>
      </c>
      <c r="B193" s="7">
        <v>45724</v>
      </c>
      <c r="C193" s="6" t="s">
        <v>786</v>
      </c>
      <c r="D193" s="6" t="s">
        <v>58</v>
      </c>
      <c r="E193">
        <v>2</v>
      </c>
      <c r="F193">
        <v>488.87</v>
      </c>
      <c r="G193" s="6" t="s">
        <v>787</v>
      </c>
      <c r="H193" s="6" t="s">
        <v>27</v>
      </c>
      <c r="I193" s="6" t="s">
        <v>35</v>
      </c>
      <c r="J193" s="6" t="s">
        <v>788</v>
      </c>
      <c r="K193">
        <v>4</v>
      </c>
      <c r="L193" s="6" t="s">
        <v>37</v>
      </c>
      <c r="M193" s="6" t="s">
        <v>76</v>
      </c>
      <c r="N193">
        <v>977.74</v>
      </c>
    </row>
    <row r="194" spans="1:14" x14ac:dyDescent="0.35">
      <c r="A194" s="6" t="s">
        <v>789</v>
      </c>
      <c r="B194" s="7">
        <v>45149</v>
      </c>
      <c r="C194" s="6" t="s">
        <v>790</v>
      </c>
      <c r="D194" s="6" t="s">
        <v>73</v>
      </c>
      <c r="E194">
        <v>1</v>
      </c>
      <c r="F194">
        <v>645.46</v>
      </c>
      <c r="G194" s="6" t="s">
        <v>595</v>
      </c>
      <c r="H194" s="6" t="s">
        <v>60</v>
      </c>
      <c r="I194" s="6" t="s">
        <v>35</v>
      </c>
      <c r="J194" s="6" t="s">
        <v>791</v>
      </c>
      <c r="K194">
        <v>5</v>
      </c>
      <c r="L194" s="6" t="s">
        <v>21</v>
      </c>
      <c r="M194" s="6" t="s">
        <v>76</v>
      </c>
      <c r="N194">
        <v>645.46</v>
      </c>
    </row>
    <row r="195" spans="1:14" x14ac:dyDescent="0.35">
      <c r="A195" s="6" t="s">
        <v>792</v>
      </c>
      <c r="B195" s="7">
        <v>45128</v>
      </c>
      <c r="C195" s="6" t="s">
        <v>793</v>
      </c>
      <c r="D195" s="6" t="s">
        <v>48</v>
      </c>
      <c r="E195">
        <v>1</v>
      </c>
      <c r="F195">
        <v>46.66</v>
      </c>
      <c r="G195" s="6" t="s">
        <v>794</v>
      </c>
      <c r="H195" s="6" t="s">
        <v>65</v>
      </c>
      <c r="I195" s="6" t="s">
        <v>35</v>
      </c>
      <c r="J195" s="6" t="s">
        <v>795</v>
      </c>
      <c r="K195">
        <v>6</v>
      </c>
      <c r="L195" s="6" t="s">
        <v>4283</v>
      </c>
      <c r="M195" s="6" t="s">
        <v>76</v>
      </c>
      <c r="N195">
        <v>46.66</v>
      </c>
    </row>
    <row r="196" spans="1:14" x14ac:dyDescent="0.35">
      <c r="A196" s="6" t="s">
        <v>796</v>
      </c>
      <c r="B196" s="7">
        <v>45451</v>
      </c>
      <c r="C196" s="6" t="s">
        <v>797</v>
      </c>
      <c r="D196" s="6" t="s">
        <v>16</v>
      </c>
      <c r="E196">
        <v>1</v>
      </c>
      <c r="F196">
        <v>249.57</v>
      </c>
      <c r="G196" s="6" t="s">
        <v>798</v>
      </c>
      <c r="H196" s="6" t="s">
        <v>65</v>
      </c>
      <c r="I196" s="6" t="s">
        <v>19</v>
      </c>
      <c r="J196" s="6" t="s">
        <v>799</v>
      </c>
      <c r="K196">
        <v>3</v>
      </c>
      <c r="L196" s="6" t="s">
        <v>37</v>
      </c>
      <c r="M196" s="6" t="s">
        <v>76</v>
      </c>
      <c r="N196">
        <v>249.57</v>
      </c>
    </row>
    <row r="197" spans="1:14" x14ac:dyDescent="0.35">
      <c r="A197" s="6" t="s">
        <v>800</v>
      </c>
      <c r="B197" s="7">
        <v>45404</v>
      </c>
      <c r="C197" s="6" t="s">
        <v>801</v>
      </c>
      <c r="D197" s="6" t="s">
        <v>41</v>
      </c>
      <c r="E197">
        <v>3</v>
      </c>
      <c r="F197">
        <v>619.21</v>
      </c>
      <c r="G197" s="6" t="s">
        <v>802</v>
      </c>
      <c r="H197" s="6" t="s">
        <v>18</v>
      </c>
      <c r="I197" s="6" t="s">
        <v>35</v>
      </c>
      <c r="J197" s="6" t="s">
        <v>803</v>
      </c>
      <c r="K197">
        <v>6</v>
      </c>
      <c r="L197" s="6" t="s">
        <v>4283</v>
      </c>
      <c r="M197" s="6" t="s">
        <v>38</v>
      </c>
      <c r="N197">
        <v>1857.63</v>
      </c>
    </row>
    <row r="198" spans="1:14" x14ac:dyDescent="0.35">
      <c r="A198" s="6" t="s">
        <v>804</v>
      </c>
      <c r="B198" s="7">
        <v>45681</v>
      </c>
      <c r="C198" s="6" t="s">
        <v>805</v>
      </c>
      <c r="D198" s="6" t="s">
        <v>73</v>
      </c>
      <c r="E198">
        <v>4</v>
      </c>
      <c r="F198">
        <v>217.13</v>
      </c>
      <c r="G198" s="6" t="s">
        <v>806</v>
      </c>
      <c r="H198" s="6" t="s">
        <v>65</v>
      </c>
      <c r="I198" s="6" t="s">
        <v>50</v>
      </c>
      <c r="J198" s="6" t="s">
        <v>807</v>
      </c>
      <c r="K198">
        <v>8</v>
      </c>
      <c r="L198" s="6" t="s">
        <v>81</v>
      </c>
      <c r="M198" s="6" t="s">
        <v>38</v>
      </c>
      <c r="N198">
        <v>868.52</v>
      </c>
    </row>
    <row r="199" spans="1:14" x14ac:dyDescent="0.35">
      <c r="A199" s="6" t="s">
        <v>808</v>
      </c>
      <c r="B199" s="7">
        <v>45165</v>
      </c>
      <c r="C199" s="6" t="s">
        <v>809</v>
      </c>
      <c r="D199" s="6" t="s">
        <v>58</v>
      </c>
      <c r="E199">
        <v>5</v>
      </c>
      <c r="F199">
        <v>221.51</v>
      </c>
      <c r="G199" s="6" t="s">
        <v>810</v>
      </c>
      <c r="H199" s="6" t="s">
        <v>65</v>
      </c>
      <c r="I199" s="6" t="s">
        <v>43</v>
      </c>
      <c r="J199" s="6" t="s">
        <v>811</v>
      </c>
      <c r="K199">
        <v>5</v>
      </c>
      <c r="L199" s="6" t="s">
        <v>81</v>
      </c>
      <c r="M199" s="6" t="s">
        <v>29</v>
      </c>
      <c r="N199">
        <v>1107.55</v>
      </c>
    </row>
    <row r="200" spans="1:14" x14ac:dyDescent="0.35">
      <c r="A200" s="6" t="s">
        <v>812</v>
      </c>
      <c r="B200" s="7">
        <v>45454</v>
      </c>
      <c r="C200" s="6" t="s">
        <v>813</v>
      </c>
      <c r="D200" s="6" t="s">
        <v>58</v>
      </c>
      <c r="E200">
        <v>4</v>
      </c>
      <c r="F200">
        <v>340.3</v>
      </c>
      <c r="G200" s="6" t="s">
        <v>177</v>
      </c>
      <c r="H200" s="6" t="s">
        <v>65</v>
      </c>
      <c r="I200" s="6" t="s">
        <v>35</v>
      </c>
      <c r="J200" s="6" t="s">
        <v>814</v>
      </c>
      <c r="K200">
        <v>8</v>
      </c>
      <c r="L200" s="6" t="s">
        <v>21</v>
      </c>
      <c r="M200" s="6" t="s">
        <v>29</v>
      </c>
      <c r="N200">
        <v>1361.2</v>
      </c>
    </row>
    <row r="201" spans="1:14" x14ac:dyDescent="0.35">
      <c r="A201" s="6" t="s">
        <v>815</v>
      </c>
      <c r="B201" s="7">
        <v>45680</v>
      </c>
      <c r="C201" s="6" t="s">
        <v>816</v>
      </c>
      <c r="D201" s="6" t="s">
        <v>25</v>
      </c>
      <c r="E201">
        <v>1</v>
      </c>
      <c r="F201">
        <v>625</v>
      </c>
      <c r="G201" s="6" t="s">
        <v>817</v>
      </c>
      <c r="H201" s="6" t="s">
        <v>27</v>
      </c>
      <c r="I201" s="6" t="s">
        <v>43</v>
      </c>
      <c r="J201" s="6" t="s">
        <v>818</v>
      </c>
      <c r="K201">
        <v>5</v>
      </c>
      <c r="L201" s="6" t="s">
        <v>81</v>
      </c>
      <c r="M201" s="6" t="s">
        <v>76</v>
      </c>
      <c r="N201">
        <v>625</v>
      </c>
    </row>
    <row r="202" spans="1:14" x14ac:dyDescent="0.35">
      <c r="A202" s="6" t="s">
        <v>819</v>
      </c>
      <c r="B202" s="7">
        <v>45815</v>
      </c>
      <c r="C202" s="6" t="s">
        <v>820</v>
      </c>
      <c r="D202" s="6" t="s">
        <v>32</v>
      </c>
      <c r="E202">
        <v>5</v>
      </c>
      <c r="F202">
        <v>433.26</v>
      </c>
      <c r="G202" s="6" t="s">
        <v>161</v>
      </c>
      <c r="H202" s="6" t="s">
        <v>34</v>
      </c>
      <c r="I202" s="6" t="s">
        <v>50</v>
      </c>
      <c r="J202" s="6" t="s">
        <v>821</v>
      </c>
      <c r="K202">
        <v>9</v>
      </c>
      <c r="L202" s="6" t="s">
        <v>21</v>
      </c>
      <c r="M202" s="6" t="s">
        <v>76</v>
      </c>
      <c r="N202">
        <v>2166.3000000000002</v>
      </c>
    </row>
    <row r="203" spans="1:14" x14ac:dyDescent="0.35">
      <c r="A203" s="6" t="s">
        <v>822</v>
      </c>
      <c r="B203" s="7">
        <v>45095</v>
      </c>
      <c r="C203" s="6" t="s">
        <v>823</v>
      </c>
      <c r="D203" s="6" t="s">
        <v>16</v>
      </c>
      <c r="E203">
        <v>2</v>
      </c>
      <c r="F203">
        <v>674.9</v>
      </c>
      <c r="G203" s="6" t="s">
        <v>347</v>
      </c>
      <c r="H203" s="6" t="s">
        <v>27</v>
      </c>
      <c r="I203" s="6" t="s">
        <v>19</v>
      </c>
      <c r="J203" s="6" t="s">
        <v>824</v>
      </c>
      <c r="K203">
        <v>4</v>
      </c>
      <c r="L203" s="6" t="s">
        <v>21</v>
      </c>
      <c r="M203" s="6" t="s">
        <v>45</v>
      </c>
      <c r="N203">
        <v>1349.8</v>
      </c>
    </row>
    <row r="204" spans="1:14" x14ac:dyDescent="0.35">
      <c r="A204" s="6" t="s">
        <v>825</v>
      </c>
      <c r="B204" s="7">
        <v>45694</v>
      </c>
      <c r="C204" s="6" t="s">
        <v>826</v>
      </c>
      <c r="D204" s="6" t="s">
        <v>16</v>
      </c>
      <c r="E204">
        <v>3</v>
      </c>
      <c r="F204">
        <v>253.98</v>
      </c>
      <c r="G204" s="6" t="s">
        <v>565</v>
      </c>
      <c r="H204" s="6" t="s">
        <v>34</v>
      </c>
      <c r="I204" s="6" t="s">
        <v>35</v>
      </c>
      <c r="J204" s="6" t="s">
        <v>827</v>
      </c>
      <c r="K204">
        <v>3</v>
      </c>
      <c r="L204" s="6" t="s">
        <v>37</v>
      </c>
      <c r="M204" s="6" t="s">
        <v>38</v>
      </c>
      <c r="N204">
        <v>761.94</v>
      </c>
    </row>
    <row r="205" spans="1:14" x14ac:dyDescent="0.35">
      <c r="A205" s="6" t="s">
        <v>828</v>
      </c>
      <c r="B205" s="7">
        <v>45678</v>
      </c>
      <c r="C205" s="6" t="s">
        <v>829</v>
      </c>
      <c r="D205" s="6" t="s">
        <v>48</v>
      </c>
      <c r="E205">
        <v>3</v>
      </c>
      <c r="F205">
        <v>356.84</v>
      </c>
      <c r="G205" s="6" t="s">
        <v>830</v>
      </c>
      <c r="H205" s="6" t="s">
        <v>27</v>
      </c>
      <c r="I205" s="6" t="s">
        <v>19</v>
      </c>
      <c r="J205" s="6" t="s">
        <v>831</v>
      </c>
      <c r="K205">
        <v>5</v>
      </c>
      <c r="L205" s="6" t="s">
        <v>21</v>
      </c>
      <c r="M205" s="6" t="s">
        <v>22</v>
      </c>
      <c r="N205">
        <v>1070.52</v>
      </c>
    </row>
    <row r="206" spans="1:14" x14ac:dyDescent="0.35">
      <c r="A206" s="6" t="s">
        <v>832</v>
      </c>
      <c r="B206" s="7">
        <v>45174</v>
      </c>
      <c r="C206" s="6" t="s">
        <v>833</v>
      </c>
      <c r="D206" s="6" t="s">
        <v>58</v>
      </c>
      <c r="E206">
        <v>4</v>
      </c>
      <c r="F206">
        <v>413.71</v>
      </c>
      <c r="G206" s="6" t="s">
        <v>584</v>
      </c>
      <c r="H206" s="6" t="s">
        <v>60</v>
      </c>
      <c r="I206" s="6" t="s">
        <v>35</v>
      </c>
      <c r="J206" s="6" t="s">
        <v>834</v>
      </c>
      <c r="K206">
        <v>9</v>
      </c>
      <c r="L206" s="6" t="s">
        <v>37</v>
      </c>
      <c r="M206" s="6" t="s">
        <v>45</v>
      </c>
      <c r="N206">
        <v>1654.84</v>
      </c>
    </row>
    <row r="207" spans="1:14" x14ac:dyDescent="0.35">
      <c r="A207" s="6" t="s">
        <v>835</v>
      </c>
      <c r="B207" s="7">
        <v>44989</v>
      </c>
      <c r="C207" s="6" t="s">
        <v>836</v>
      </c>
      <c r="D207" s="6" t="s">
        <v>73</v>
      </c>
      <c r="E207">
        <v>3</v>
      </c>
      <c r="F207">
        <v>147.38999999999999</v>
      </c>
      <c r="G207" s="6" t="s">
        <v>837</v>
      </c>
      <c r="H207" s="6" t="s">
        <v>18</v>
      </c>
      <c r="I207" s="6" t="s">
        <v>43</v>
      </c>
      <c r="J207" s="6" t="s">
        <v>838</v>
      </c>
      <c r="K207">
        <v>3</v>
      </c>
      <c r="L207" s="6" t="s">
        <v>4283</v>
      </c>
      <c r="M207" s="6" t="s">
        <v>38</v>
      </c>
      <c r="N207">
        <v>442.17</v>
      </c>
    </row>
    <row r="208" spans="1:14" x14ac:dyDescent="0.35">
      <c r="A208" s="6" t="s">
        <v>839</v>
      </c>
      <c r="B208" s="7">
        <v>45398</v>
      </c>
      <c r="C208" s="6" t="s">
        <v>840</v>
      </c>
      <c r="D208" s="6" t="s">
        <v>58</v>
      </c>
      <c r="E208">
        <v>4</v>
      </c>
      <c r="F208">
        <v>229.1</v>
      </c>
      <c r="G208" s="6" t="s">
        <v>841</v>
      </c>
      <c r="H208" s="6" t="s">
        <v>60</v>
      </c>
      <c r="I208" s="6" t="s">
        <v>43</v>
      </c>
      <c r="J208" s="6" t="s">
        <v>842</v>
      </c>
      <c r="K208">
        <v>8</v>
      </c>
      <c r="L208" s="6" t="s">
        <v>81</v>
      </c>
      <c r="M208" s="6" t="s">
        <v>38</v>
      </c>
      <c r="N208">
        <v>916.4</v>
      </c>
    </row>
    <row r="209" spans="1:14" x14ac:dyDescent="0.35">
      <c r="A209" s="6" t="s">
        <v>843</v>
      </c>
      <c r="B209" s="7">
        <v>45734</v>
      </c>
      <c r="C209" s="6" t="s">
        <v>844</v>
      </c>
      <c r="D209" s="6" t="s">
        <v>25</v>
      </c>
      <c r="E209">
        <v>1</v>
      </c>
      <c r="F209">
        <v>121.96</v>
      </c>
      <c r="G209" s="6" t="s">
        <v>845</v>
      </c>
      <c r="H209" s="6" t="s">
        <v>18</v>
      </c>
      <c r="I209" s="6" t="s">
        <v>50</v>
      </c>
      <c r="J209" s="6" t="s">
        <v>846</v>
      </c>
      <c r="K209">
        <v>3</v>
      </c>
      <c r="L209" s="6" t="s">
        <v>4283</v>
      </c>
      <c r="M209" s="6" t="s">
        <v>76</v>
      </c>
      <c r="N209">
        <v>121.96</v>
      </c>
    </row>
    <row r="210" spans="1:14" x14ac:dyDescent="0.35">
      <c r="A210" s="6" t="s">
        <v>847</v>
      </c>
      <c r="B210" s="7">
        <v>45573</v>
      </c>
      <c r="C210" s="6" t="s">
        <v>848</v>
      </c>
      <c r="D210" s="6" t="s">
        <v>73</v>
      </c>
      <c r="E210">
        <v>2</v>
      </c>
      <c r="F210">
        <v>408.32</v>
      </c>
      <c r="G210" s="6" t="s">
        <v>779</v>
      </c>
      <c r="H210" s="6" t="s">
        <v>27</v>
      </c>
      <c r="I210" s="6" t="s">
        <v>19</v>
      </c>
      <c r="J210" s="6" t="s">
        <v>849</v>
      </c>
      <c r="K210">
        <v>3</v>
      </c>
      <c r="L210" s="6" t="s">
        <v>37</v>
      </c>
      <c r="M210" s="6" t="s">
        <v>45</v>
      </c>
      <c r="N210">
        <v>816.64</v>
      </c>
    </row>
    <row r="211" spans="1:14" x14ac:dyDescent="0.35">
      <c r="A211" s="6" t="s">
        <v>850</v>
      </c>
      <c r="B211" s="7">
        <v>45167</v>
      </c>
      <c r="C211" s="6" t="s">
        <v>851</v>
      </c>
      <c r="D211" s="6" t="s">
        <v>32</v>
      </c>
      <c r="E211">
        <v>5</v>
      </c>
      <c r="F211">
        <v>187.97</v>
      </c>
      <c r="G211" s="6" t="s">
        <v>64</v>
      </c>
      <c r="H211" s="6" t="s">
        <v>65</v>
      </c>
      <c r="I211" s="6" t="s">
        <v>43</v>
      </c>
      <c r="J211" s="6" t="s">
        <v>852</v>
      </c>
      <c r="K211">
        <v>9</v>
      </c>
      <c r="L211" s="6" t="s">
        <v>21</v>
      </c>
      <c r="M211" s="6" t="s">
        <v>76</v>
      </c>
      <c r="N211">
        <v>939.85</v>
      </c>
    </row>
    <row r="212" spans="1:14" x14ac:dyDescent="0.35">
      <c r="A212" s="6" t="s">
        <v>853</v>
      </c>
      <c r="B212" s="7">
        <v>45631</v>
      </c>
      <c r="C212" s="6" t="s">
        <v>854</v>
      </c>
      <c r="D212" s="6" t="s">
        <v>41</v>
      </c>
      <c r="E212">
        <v>3</v>
      </c>
      <c r="F212">
        <v>358.48</v>
      </c>
      <c r="G212" s="6" t="s">
        <v>553</v>
      </c>
      <c r="H212" s="6" t="s">
        <v>60</v>
      </c>
      <c r="I212" s="6" t="s">
        <v>50</v>
      </c>
      <c r="J212" s="6" t="s">
        <v>855</v>
      </c>
      <c r="K212">
        <v>7</v>
      </c>
      <c r="L212" s="6" t="s">
        <v>37</v>
      </c>
      <c r="M212" s="6" t="s">
        <v>45</v>
      </c>
      <c r="N212">
        <v>1075.44</v>
      </c>
    </row>
    <row r="213" spans="1:14" x14ac:dyDescent="0.35">
      <c r="A213" s="6" t="s">
        <v>856</v>
      </c>
      <c r="B213" s="7">
        <v>45660</v>
      </c>
      <c r="C213" s="6" t="s">
        <v>857</v>
      </c>
      <c r="D213" s="6" t="s">
        <v>48</v>
      </c>
      <c r="E213">
        <v>3</v>
      </c>
      <c r="F213">
        <v>193.58</v>
      </c>
      <c r="G213" s="6" t="s">
        <v>858</v>
      </c>
      <c r="H213" s="6" t="s">
        <v>60</v>
      </c>
      <c r="I213" s="6" t="s">
        <v>89</v>
      </c>
      <c r="J213" s="6" t="s">
        <v>859</v>
      </c>
      <c r="K213">
        <v>7</v>
      </c>
      <c r="L213" s="6" t="s">
        <v>37</v>
      </c>
      <c r="M213" s="6" t="s">
        <v>38</v>
      </c>
      <c r="N213">
        <v>580.74</v>
      </c>
    </row>
    <row r="214" spans="1:14" x14ac:dyDescent="0.35">
      <c r="A214" s="6" t="s">
        <v>860</v>
      </c>
      <c r="B214" s="7">
        <v>45097</v>
      </c>
      <c r="C214" s="6" t="s">
        <v>861</v>
      </c>
      <c r="D214" s="6" t="s">
        <v>16</v>
      </c>
      <c r="E214">
        <v>1</v>
      </c>
      <c r="F214">
        <v>265.38</v>
      </c>
      <c r="G214" s="6" t="s">
        <v>862</v>
      </c>
      <c r="H214" s="6" t="s">
        <v>34</v>
      </c>
      <c r="I214" s="6" t="s">
        <v>35</v>
      </c>
      <c r="J214" s="6" t="s">
        <v>863</v>
      </c>
      <c r="K214">
        <v>6</v>
      </c>
      <c r="L214" s="6" t="s">
        <v>81</v>
      </c>
      <c r="M214" s="6" t="s">
        <v>38</v>
      </c>
      <c r="N214">
        <v>265.38</v>
      </c>
    </row>
    <row r="215" spans="1:14" x14ac:dyDescent="0.35">
      <c r="A215" s="6" t="s">
        <v>864</v>
      </c>
      <c r="B215" s="7">
        <v>45036</v>
      </c>
      <c r="C215" s="6" t="s">
        <v>865</v>
      </c>
      <c r="D215" s="6" t="s">
        <v>58</v>
      </c>
      <c r="E215">
        <v>1</v>
      </c>
      <c r="F215">
        <v>634.4</v>
      </c>
      <c r="G215" s="6" t="s">
        <v>866</v>
      </c>
      <c r="H215" s="6" t="s">
        <v>65</v>
      </c>
      <c r="I215" s="6" t="s">
        <v>35</v>
      </c>
      <c r="J215" s="6" t="s">
        <v>867</v>
      </c>
      <c r="K215">
        <v>6</v>
      </c>
      <c r="L215" s="6" t="s">
        <v>21</v>
      </c>
      <c r="M215" s="6" t="s">
        <v>38</v>
      </c>
      <c r="N215">
        <v>634.4</v>
      </c>
    </row>
    <row r="216" spans="1:14" x14ac:dyDescent="0.35">
      <c r="A216" s="6" t="s">
        <v>868</v>
      </c>
      <c r="B216" s="7">
        <v>45525</v>
      </c>
      <c r="C216" s="6" t="s">
        <v>869</v>
      </c>
      <c r="D216" s="6" t="s">
        <v>73</v>
      </c>
      <c r="E216">
        <v>4</v>
      </c>
      <c r="F216">
        <v>305.72000000000003</v>
      </c>
      <c r="G216" s="6" t="s">
        <v>517</v>
      </c>
      <c r="H216" s="6" t="s">
        <v>27</v>
      </c>
      <c r="I216" s="6" t="s">
        <v>50</v>
      </c>
      <c r="J216" s="6" t="s">
        <v>870</v>
      </c>
      <c r="K216">
        <v>5</v>
      </c>
      <c r="L216" s="6" t="s">
        <v>4283</v>
      </c>
      <c r="M216" s="6" t="s">
        <v>45</v>
      </c>
      <c r="N216">
        <v>1222.8800000000001</v>
      </c>
    </row>
    <row r="217" spans="1:14" x14ac:dyDescent="0.35">
      <c r="A217" s="6" t="s">
        <v>871</v>
      </c>
      <c r="B217" s="7">
        <v>45148</v>
      </c>
      <c r="C217" s="6" t="s">
        <v>872</v>
      </c>
      <c r="D217" s="6" t="s">
        <v>48</v>
      </c>
      <c r="E217">
        <v>1</v>
      </c>
      <c r="F217">
        <v>303.60000000000002</v>
      </c>
      <c r="G217" s="6" t="s">
        <v>873</v>
      </c>
      <c r="H217" s="6" t="s">
        <v>65</v>
      </c>
      <c r="I217" s="6" t="s">
        <v>19</v>
      </c>
      <c r="J217" s="6" t="s">
        <v>874</v>
      </c>
      <c r="K217">
        <v>5</v>
      </c>
      <c r="L217" s="6" t="s">
        <v>37</v>
      </c>
      <c r="M217" s="6" t="s">
        <v>45</v>
      </c>
      <c r="N217">
        <v>303.60000000000002</v>
      </c>
    </row>
    <row r="218" spans="1:14" x14ac:dyDescent="0.35">
      <c r="A218" s="6" t="s">
        <v>875</v>
      </c>
      <c r="B218" s="7">
        <v>45762</v>
      </c>
      <c r="C218" s="6" t="s">
        <v>876</v>
      </c>
      <c r="D218" s="6" t="s">
        <v>16</v>
      </c>
      <c r="E218">
        <v>4</v>
      </c>
      <c r="F218">
        <v>496</v>
      </c>
      <c r="G218" s="6" t="s">
        <v>273</v>
      </c>
      <c r="H218" s="6" t="s">
        <v>27</v>
      </c>
      <c r="I218" s="6" t="s">
        <v>35</v>
      </c>
      <c r="J218" s="6" t="s">
        <v>877</v>
      </c>
      <c r="K218">
        <v>8</v>
      </c>
      <c r="L218" s="6" t="s">
        <v>81</v>
      </c>
      <c r="M218" s="6" t="s">
        <v>76</v>
      </c>
      <c r="N218">
        <v>1984</v>
      </c>
    </row>
    <row r="219" spans="1:14" x14ac:dyDescent="0.35">
      <c r="A219" s="6" t="s">
        <v>878</v>
      </c>
      <c r="B219" s="7">
        <v>45432</v>
      </c>
      <c r="C219" s="6" t="s">
        <v>879</v>
      </c>
      <c r="D219" s="6" t="s">
        <v>73</v>
      </c>
      <c r="E219">
        <v>4</v>
      </c>
      <c r="F219">
        <v>321.51</v>
      </c>
      <c r="G219" s="6" t="s">
        <v>880</v>
      </c>
      <c r="H219" s="6" t="s">
        <v>65</v>
      </c>
      <c r="I219" s="6" t="s">
        <v>43</v>
      </c>
      <c r="J219" s="6" t="s">
        <v>881</v>
      </c>
      <c r="K219">
        <v>9</v>
      </c>
      <c r="L219" s="6" t="s">
        <v>4283</v>
      </c>
      <c r="M219" s="6" t="s">
        <v>76</v>
      </c>
      <c r="N219">
        <v>1286.04</v>
      </c>
    </row>
    <row r="220" spans="1:14" x14ac:dyDescent="0.35">
      <c r="A220" s="6" t="s">
        <v>882</v>
      </c>
      <c r="B220" s="7">
        <v>45044</v>
      </c>
      <c r="C220" s="6" t="s">
        <v>883</v>
      </c>
      <c r="D220" s="6" t="s">
        <v>32</v>
      </c>
      <c r="E220">
        <v>3</v>
      </c>
      <c r="F220">
        <v>112.46</v>
      </c>
      <c r="G220" s="6" t="s">
        <v>884</v>
      </c>
      <c r="H220" s="6" t="s">
        <v>60</v>
      </c>
      <c r="I220" s="6" t="s">
        <v>19</v>
      </c>
      <c r="J220" s="6" t="s">
        <v>885</v>
      </c>
      <c r="K220">
        <v>6</v>
      </c>
      <c r="L220" s="6" t="s">
        <v>21</v>
      </c>
      <c r="M220" s="6" t="s">
        <v>22</v>
      </c>
      <c r="N220">
        <v>337.38</v>
      </c>
    </row>
    <row r="221" spans="1:14" x14ac:dyDescent="0.35">
      <c r="A221" s="6" t="s">
        <v>886</v>
      </c>
      <c r="B221" s="7">
        <v>45779</v>
      </c>
      <c r="C221" s="6" t="s">
        <v>887</v>
      </c>
      <c r="D221" s="6" t="s">
        <v>58</v>
      </c>
      <c r="E221">
        <v>5</v>
      </c>
      <c r="F221">
        <v>61.97</v>
      </c>
      <c r="G221" s="6" t="s">
        <v>888</v>
      </c>
      <c r="H221" s="6" t="s">
        <v>65</v>
      </c>
      <c r="I221" s="6" t="s">
        <v>50</v>
      </c>
      <c r="J221" s="6" t="s">
        <v>889</v>
      </c>
      <c r="K221">
        <v>6</v>
      </c>
      <c r="L221" s="6" t="s">
        <v>21</v>
      </c>
      <c r="M221" s="6" t="s">
        <v>38</v>
      </c>
      <c r="N221">
        <v>309.85000000000002</v>
      </c>
    </row>
    <row r="222" spans="1:14" x14ac:dyDescent="0.35">
      <c r="A222" s="6" t="s">
        <v>890</v>
      </c>
      <c r="B222" s="7">
        <v>45125</v>
      </c>
      <c r="C222" s="6" t="s">
        <v>891</v>
      </c>
      <c r="D222" s="6" t="s">
        <v>58</v>
      </c>
      <c r="E222">
        <v>2</v>
      </c>
      <c r="F222">
        <v>373.17</v>
      </c>
      <c r="G222" s="6" t="s">
        <v>892</v>
      </c>
      <c r="H222" s="6" t="s">
        <v>34</v>
      </c>
      <c r="I222" s="6" t="s">
        <v>89</v>
      </c>
      <c r="J222" s="6" t="s">
        <v>893</v>
      </c>
      <c r="K222">
        <v>6</v>
      </c>
      <c r="L222" s="6" t="s">
        <v>21</v>
      </c>
      <c r="M222" s="6" t="s">
        <v>29</v>
      </c>
      <c r="N222">
        <v>746.34</v>
      </c>
    </row>
    <row r="223" spans="1:14" x14ac:dyDescent="0.35">
      <c r="A223" s="6" t="s">
        <v>894</v>
      </c>
      <c r="B223" s="7">
        <v>45345</v>
      </c>
      <c r="C223" s="6" t="s">
        <v>895</v>
      </c>
      <c r="D223" s="6" t="s">
        <v>32</v>
      </c>
      <c r="E223">
        <v>5</v>
      </c>
      <c r="F223">
        <v>639.37</v>
      </c>
      <c r="G223" s="6" t="s">
        <v>312</v>
      </c>
      <c r="H223" s="6" t="s">
        <v>18</v>
      </c>
      <c r="I223" s="6" t="s">
        <v>89</v>
      </c>
      <c r="J223" s="6" t="s">
        <v>896</v>
      </c>
      <c r="K223">
        <v>6</v>
      </c>
      <c r="L223" s="6" t="s">
        <v>21</v>
      </c>
      <c r="M223" s="6" t="s">
        <v>76</v>
      </c>
      <c r="N223">
        <v>3196.85</v>
      </c>
    </row>
    <row r="224" spans="1:14" x14ac:dyDescent="0.35">
      <c r="A224" s="6" t="s">
        <v>897</v>
      </c>
      <c r="B224" s="7">
        <v>45050</v>
      </c>
      <c r="C224" s="6" t="s">
        <v>898</v>
      </c>
      <c r="D224" s="6" t="s">
        <v>41</v>
      </c>
      <c r="E224">
        <v>4</v>
      </c>
      <c r="F224">
        <v>693.36</v>
      </c>
      <c r="G224" s="6" t="s">
        <v>899</v>
      </c>
      <c r="H224" s="6" t="s">
        <v>27</v>
      </c>
      <c r="I224" s="6" t="s">
        <v>19</v>
      </c>
      <c r="J224" s="6" t="s">
        <v>900</v>
      </c>
      <c r="K224">
        <v>8</v>
      </c>
      <c r="L224" s="6" t="s">
        <v>4283</v>
      </c>
      <c r="M224" s="6" t="s">
        <v>22</v>
      </c>
      <c r="N224">
        <v>2773.44</v>
      </c>
    </row>
    <row r="225" spans="1:14" x14ac:dyDescent="0.35">
      <c r="A225" s="6" t="s">
        <v>901</v>
      </c>
      <c r="B225" s="7">
        <v>45546</v>
      </c>
      <c r="C225" s="6" t="s">
        <v>902</v>
      </c>
      <c r="D225" s="6" t="s">
        <v>25</v>
      </c>
      <c r="E225">
        <v>4</v>
      </c>
      <c r="F225">
        <v>692.91</v>
      </c>
      <c r="G225" s="6" t="s">
        <v>517</v>
      </c>
      <c r="H225" s="6" t="s">
        <v>34</v>
      </c>
      <c r="I225" s="6" t="s">
        <v>89</v>
      </c>
      <c r="J225" s="6" t="s">
        <v>903</v>
      </c>
      <c r="K225">
        <v>9</v>
      </c>
      <c r="L225" s="6" t="s">
        <v>21</v>
      </c>
      <c r="M225" s="6" t="s">
        <v>22</v>
      </c>
      <c r="N225">
        <v>2771.64</v>
      </c>
    </row>
    <row r="226" spans="1:14" x14ac:dyDescent="0.35">
      <c r="A226" s="6" t="s">
        <v>904</v>
      </c>
      <c r="B226" s="7">
        <v>45192</v>
      </c>
      <c r="C226" s="6" t="s">
        <v>905</v>
      </c>
      <c r="D226" s="6" t="s">
        <v>48</v>
      </c>
      <c r="E226">
        <v>4</v>
      </c>
      <c r="F226">
        <v>91.46</v>
      </c>
      <c r="G226" s="6" t="s">
        <v>906</v>
      </c>
      <c r="H226" s="6" t="s">
        <v>65</v>
      </c>
      <c r="I226" s="6" t="s">
        <v>35</v>
      </c>
      <c r="J226" s="6" t="s">
        <v>907</v>
      </c>
      <c r="K226">
        <v>9</v>
      </c>
      <c r="L226" s="6" t="s">
        <v>21</v>
      </c>
      <c r="M226" s="6" t="s">
        <v>29</v>
      </c>
      <c r="N226">
        <v>365.84</v>
      </c>
    </row>
    <row r="227" spans="1:14" x14ac:dyDescent="0.35">
      <c r="A227" s="6" t="s">
        <v>908</v>
      </c>
      <c r="B227" s="7">
        <v>45364</v>
      </c>
      <c r="C227" s="6" t="s">
        <v>909</v>
      </c>
      <c r="D227" s="6" t="s">
        <v>25</v>
      </c>
      <c r="E227">
        <v>3</v>
      </c>
      <c r="F227">
        <v>273.95999999999998</v>
      </c>
      <c r="G227" s="6" t="s">
        <v>910</v>
      </c>
      <c r="H227" s="6" t="s">
        <v>18</v>
      </c>
      <c r="I227" s="6" t="s">
        <v>43</v>
      </c>
      <c r="J227" s="6" t="s">
        <v>911</v>
      </c>
      <c r="K227">
        <v>8</v>
      </c>
      <c r="L227" s="6" t="s">
        <v>21</v>
      </c>
      <c r="M227" s="6" t="s">
        <v>76</v>
      </c>
      <c r="N227">
        <v>821.88</v>
      </c>
    </row>
    <row r="228" spans="1:14" x14ac:dyDescent="0.35">
      <c r="A228" s="6" t="s">
        <v>912</v>
      </c>
      <c r="B228" s="7">
        <v>45835</v>
      </c>
      <c r="C228" s="6" t="s">
        <v>913</v>
      </c>
      <c r="D228" s="6" t="s">
        <v>73</v>
      </c>
      <c r="E228">
        <v>3</v>
      </c>
      <c r="F228">
        <v>588.04999999999995</v>
      </c>
      <c r="G228" s="6" t="s">
        <v>914</v>
      </c>
      <c r="H228" s="6" t="s">
        <v>60</v>
      </c>
      <c r="I228" s="6" t="s">
        <v>50</v>
      </c>
      <c r="J228" s="6" t="s">
        <v>915</v>
      </c>
      <c r="K228">
        <v>8</v>
      </c>
      <c r="L228" s="6" t="s">
        <v>4283</v>
      </c>
      <c r="M228" s="6" t="s">
        <v>22</v>
      </c>
      <c r="N228">
        <v>1764.15</v>
      </c>
    </row>
    <row r="229" spans="1:14" x14ac:dyDescent="0.35">
      <c r="A229" s="6" t="s">
        <v>916</v>
      </c>
      <c r="B229" s="7">
        <v>45232</v>
      </c>
      <c r="C229" s="6" t="s">
        <v>917</v>
      </c>
      <c r="D229" s="6" t="s">
        <v>16</v>
      </c>
      <c r="E229">
        <v>2</v>
      </c>
      <c r="F229">
        <v>365.17</v>
      </c>
      <c r="G229" s="6" t="s">
        <v>537</v>
      </c>
      <c r="H229" s="6" t="s">
        <v>27</v>
      </c>
      <c r="I229" s="6" t="s">
        <v>35</v>
      </c>
      <c r="J229" s="6" t="s">
        <v>918</v>
      </c>
      <c r="K229">
        <v>4</v>
      </c>
      <c r="L229" s="6" t="s">
        <v>37</v>
      </c>
      <c r="M229" s="6" t="s">
        <v>45</v>
      </c>
      <c r="N229">
        <v>730.34</v>
      </c>
    </row>
    <row r="230" spans="1:14" x14ac:dyDescent="0.35">
      <c r="A230" s="6" t="s">
        <v>919</v>
      </c>
      <c r="B230" s="7">
        <v>45063</v>
      </c>
      <c r="C230" s="6" t="s">
        <v>920</v>
      </c>
      <c r="D230" s="6" t="s">
        <v>41</v>
      </c>
      <c r="E230">
        <v>4</v>
      </c>
      <c r="F230">
        <v>385.92</v>
      </c>
      <c r="G230" s="6" t="s">
        <v>921</v>
      </c>
      <c r="H230" s="6" t="s">
        <v>34</v>
      </c>
      <c r="I230" s="6" t="s">
        <v>35</v>
      </c>
      <c r="J230" s="6" t="s">
        <v>922</v>
      </c>
      <c r="K230">
        <v>8</v>
      </c>
      <c r="L230" s="6" t="s">
        <v>4283</v>
      </c>
      <c r="M230" s="6" t="s">
        <v>22</v>
      </c>
      <c r="N230">
        <v>1543.68</v>
      </c>
    </row>
    <row r="231" spans="1:14" x14ac:dyDescent="0.35">
      <c r="A231" s="6" t="s">
        <v>923</v>
      </c>
      <c r="B231" s="7">
        <v>45744</v>
      </c>
      <c r="C231" s="6" t="s">
        <v>924</v>
      </c>
      <c r="D231" s="6" t="s">
        <v>32</v>
      </c>
      <c r="E231">
        <v>1</v>
      </c>
      <c r="F231">
        <v>562.61</v>
      </c>
      <c r="G231" s="6" t="s">
        <v>925</v>
      </c>
      <c r="H231" s="6" t="s">
        <v>34</v>
      </c>
      <c r="I231" s="6" t="s">
        <v>50</v>
      </c>
      <c r="J231" s="6" t="s">
        <v>926</v>
      </c>
      <c r="K231">
        <v>3</v>
      </c>
      <c r="L231" s="6" t="s">
        <v>81</v>
      </c>
      <c r="M231" s="6" t="s">
        <v>45</v>
      </c>
      <c r="N231">
        <v>562.61</v>
      </c>
    </row>
    <row r="232" spans="1:14" x14ac:dyDescent="0.35">
      <c r="A232" s="6" t="s">
        <v>927</v>
      </c>
      <c r="B232" s="7">
        <v>45276</v>
      </c>
      <c r="C232" s="6" t="s">
        <v>928</v>
      </c>
      <c r="D232" s="6" t="s">
        <v>73</v>
      </c>
      <c r="E232">
        <v>4</v>
      </c>
      <c r="F232">
        <v>61.91</v>
      </c>
      <c r="G232" s="6" t="s">
        <v>929</v>
      </c>
      <c r="H232" s="6" t="s">
        <v>60</v>
      </c>
      <c r="I232" s="6" t="s">
        <v>50</v>
      </c>
      <c r="J232" s="6" t="s">
        <v>930</v>
      </c>
      <c r="K232">
        <v>6</v>
      </c>
      <c r="L232" s="6" t="s">
        <v>81</v>
      </c>
      <c r="M232" s="6" t="s">
        <v>38</v>
      </c>
      <c r="N232">
        <v>247.64</v>
      </c>
    </row>
    <row r="233" spans="1:14" x14ac:dyDescent="0.35">
      <c r="A233" s="6" t="s">
        <v>931</v>
      </c>
      <c r="B233" s="7">
        <v>45235</v>
      </c>
      <c r="C233" s="6" t="s">
        <v>932</v>
      </c>
      <c r="D233" s="6" t="s">
        <v>25</v>
      </c>
      <c r="E233">
        <v>4</v>
      </c>
      <c r="F233">
        <v>41.9</v>
      </c>
      <c r="G233" s="6" t="s">
        <v>933</v>
      </c>
      <c r="H233" s="6" t="s">
        <v>60</v>
      </c>
      <c r="I233" s="6" t="s">
        <v>89</v>
      </c>
      <c r="J233" s="6" t="s">
        <v>934</v>
      </c>
      <c r="K233">
        <v>9</v>
      </c>
      <c r="L233" s="6" t="s">
        <v>37</v>
      </c>
      <c r="M233" s="6" t="s">
        <v>22</v>
      </c>
      <c r="N233">
        <v>167.6</v>
      </c>
    </row>
    <row r="234" spans="1:14" x14ac:dyDescent="0.35">
      <c r="A234" s="6" t="s">
        <v>935</v>
      </c>
      <c r="B234" s="7">
        <v>45065</v>
      </c>
      <c r="C234" s="6" t="s">
        <v>936</v>
      </c>
      <c r="D234" s="6" t="s">
        <v>48</v>
      </c>
      <c r="E234">
        <v>4</v>
      </c>
      <c r="F234">
        <v>444.44</v>
      </c>
      <c r="G234" s="6" t="s">
        <v>937</v>
      </c>
      <c r="H234" s="6" t="s">
        <v>18</v>
      </c>
      <c r="I234" s="6" t="s">
        <v>35</v>
      </c>
      <c r="J234" s="6" t="s">
        <v>938</v>
      </c>
      <c r="K234">
        <v>8</v>
      </c>
      <c r="L234" s="6" t="s">
        <v>81</v>
      </c>
      <c r="M234" s="6" t="s">
        <v>76</v>
      </c>
      <c r="N234">
        <v>1777.76</v>
      </c>
    </row>
    <row r="235" spans="1:14" x14ac:dyDescent="0.35">
      <c r="A235" s="6" t="s">
        <v>939</v>
      </c>
      <c r="B235" s="7">
        <v>45528</v>
      </c>
      <c r="C235" s="6" t="s">
        <v>940</v>
      </c>
      <c r="D235" s="6" t="s">
        <v>25</v>
      </c>
      <c r="E235">
        <v>3</v>
      </c>
      <c r="F235">
        <v>311.33</v>
      </c>
      <c r="G235" s="6" t="s">
        <v>347</v>
      </c>
      <c r="H235" s="6" t="s">
        <v>65</v>
      </c>
      <c r="I235" s="6" t="s">
        <v>35</v>
      </c>
      <c r="J235" s="6" t="s">
        <v>941</v>
      </c>
      <c r="K235">
        <v>3</v>
      </c>
      <c r="L235" s="6" t="s">
        <v>81</v>
      </c>
      <c r="M235" s="6" t="s">
        <v>22</v>
      </c>
      <c r="N235">
        <v>933.99</v>
      </c>
    </row>
    <row r="236" spans="1:14" x14ac:dyDescent="0.35">
      <c r="A236" s="6" t="s">
        <v>942</v>
      </c>
      <c r="B236" s="7">
        <v>45622</v>
      </c>
      <c r="C236" s="6" t="s">
        <v>943</v>
      </c>
      <c r="D236" s="6" t="s">
        <v>48</v>
      </c>
      <c r="E236">
        <v>4</v>
      </c>
      <c r="F236">
        <v>236.41</v>
      </c>
      <c r="G236" s="6" t="s">
        <v>944</v>
      </c>
      <c r="H236" s="6" t="s">
        <v>18</v>
      </c>
      <c r="I236" s="6" t="s">
        <v>89</v>
      </c>
      <c r="J236" s="6" t="s">
        <v>945</v>
      </c>
      <c r="K236">
        <v>7</v>
      </c>
      <c r="L236" s="6" t="s">
        <v>21</v>
      </c>
      <c r="M236" s="6" t="s">
        <v>76</v>
      </c>
      <c r="N236">
        <v>945.64</v>
      </c>
    </row>
    <row r="237" spans="1:14" x14ac:dyDescent="0.35">
      <c r="A237" s="6" t="s">
        <v>946</v>
      </c>
      <c r="B237" s="7">
        <v>44977</v>
      </c>
      <c r="C237" s="6" t="s">
        <v>947</v>
      </c>
      <c r="D237" s="6" t="s">
        <v>73</v>
      </c>
      <c r="E237">
        <v>1</v>
      </c>
      <c r="F237">
        <v>65.45</v>
      </c>
      <c r="G237" s="6" t="s">
        <v>948</v>
      </c>
      <c r="H237" s="6" t="s">
        <v>65</v>
      </c>
      <c r="I237" s="6" t="s">
        <v>89</v>
      </c>
      <c r="J237" s="6" t="s">
        <v>949</v>
      </c>
      <c r="K237">
        <v>2</v>
      </c>
      <c r="L237" s="6" t="s">
        <v>81</v>
      </c>
      <c r="M237" s="6" t="s">
        <v>76</v>
      </c>
      <c r="N237">
        <v>65.45</v>
      </c>
    </row>
    <row r="238" spans="1:14" x14ac:dyDescent="0.35">
      <c r="A238" s="6" t="s">
        <v>950</v>
      </c>
      <c r="B238" s="7">
        <v>44927</v>
      </c>
      <c r="C238" s="6" t="s">
        <v>951</v>
      </c>
      <c r="D238" s="6" t="s">
        <v>16</v>
      </c>
      <c r="E238">
        <v>1</v>
      </c>
      <c r="F238">
        <v>318.81</v>
      </c>
      <c r="G238" s="6" t="s">
        <v>952</v>
      </c>
      <c r="H238" s="6" t="s">
        <v>18</v>
      </c>
      <c r="I238" s="6" t="s">
        <v>89</v>
      </c>
      <c r="J238" s="6" t="s">
        <v>953</v>
      </c>
      <c r="K238">
        <v>3</v>
      </c>
      <c r="L238" s="6" t="s">
        <v>81</v>
      </c>
      <c r="M238" s="6" t="s">
        <v>38</v>
      </c>
      <c r="N238">
        <v>318.81</v>
      </c>
    </row>
    <row r="239" spans="1:14" x14ac:dyDescent="0.35">
      <c r="A239" s="6" t="s">
        <v>954</v>
      </c>
      <c r="B239" s="7">
        <v>45365</v>
      </c>
      <c r="C239" s="6" t="s">
        <v>955</v>
      </c>
      <c r="D239" s="6" t="s">
        <v>16</v>
      </c>
      <c r="E239">
        <v>3</v>
      </c>
      <c r="F239">
        <v>583.72</v>
      </c>
      <c r="G239" s="6" t="s">
        <v>956</v>
      </c>
      <c r="H239" s="6" t="s">
        <v>34</v>
      </c>
      <c r="I239" s="6" t="s">
        <v>19</v>
      </c>
      <c r="J239" s="6" t="s">
        <v>957</v>
      </c>
      <c r="K239">
        <v>5</v>
      </c>
      <c r="L239" s="6" t="s">
        <v>37</v>
      </c>
      <c r="M239" s="6" t="s">
        <v>45</v>
      </c>
      <c r="N239">
        <v>1751.16</v>
      </c>
    </row>
    <row r="240" spans="1:14" x14ac:dyDescent="0.35">
      <c r="A240" s="6" t="s">
        <v>958</v>
      </c>
      <c r="B240" s="7">
        <v>45639</v>
      </c>
      <c r="C240" s="6" t="s">
        <v>959</v>
      </c>
      <c r="D240" s="6" t="s">
        <v>73</v>
      </c>
      <c r="E240">
        <v>4</v>
      </c>
      <c r="F240">
        <v>384.32</v>
      </c>
      <c r="G240" s="6" t="s">
        <v>960</v>
      </c>
      <c r="H240" s="6" t="s">
        <v>34</v>
      </c>
      <c r="I240" s="6" t="s">
        <v>89</v>
      </c>
      <c r="J240" s="6" t="s">
        <v>961</v>
      </c>
      <c r="K240">
        <v>6</v>
      </c>
      <c r="L240" s="6" t="s">
        <v>81</v>
      </c>
      <c r="M240" s="6" t="s">
        <v>76</v>
      </c>
      <c r="N240">
        <v>1537.28</v>
      </c>
    </row>
    <row r="241" spans="1:14" x14ac:dyDescent="0.35">
      <c r="A241" s="6" t="s">
        <v>962</v>
      </c>
      <c r="B241" s="7">
        <v>45637</v>
      </c>
      <c r="C241" s="6" t="s">
        <v>963</v>
      </c>
      <c r="D241" s="6" t="s">
        <v>32</v>
      </c>
      <c r="E241">
        <v>3</v>
      </c>
      <c r="F241">
        <v>538.74</v>
      </c>
      <c r="G241" s="6" t="s">
        <v>964</v>
      </c>
      <c r="H241" s="6" t="s">
        <v>27</v>
      </c>
      <c r="I241" s="6" t="s">
        <v>19</v>
      </c>
      <c r="J241" s="6" t="s">
        <v>965</v>
      </c>
      <c r="K241">
        <v>6</v>
      </c>
      <c r="L241" s="6" t="s">
        <v>37</v>
      </c>
      <c r="M241" s="6" t="s">
        <v>38</v>
      </c>
      <c r="N241">
        <v>1616.22</v>
      </c>
    </row>
    <row r="242" spans="1:14" x14ac:dyDescent="0.35">
      <c r="A242" s="6" t="s">
        <v>966</v>
      </c>
      <c r="B242" s="7">
        <v>45119</v>
      </c>
      <c r="C242" s="6" t="s">
        <v>967</v>
      </c>
      <c r="D242" s="6" t="s">
        <v>32</v>
      </c>
      <c r="E242">
        <v>1</v>
      </c>
      <c r="F242">
        <v>17.239999999999998</v>
      </c>
      <c r="G242" s="6" t="s">
        <v>968</v>
      </c>
      <c r="H242" s="6" t="s">
        <v>27</v>
      </c>
      <c r="I242" s="6" t="s">
        <v>89</v>
      </c>
      <c r="J242" s="6" t="s">
        <v>969</v>
      </c>
      <c r="K242">
        <v>2</v>
      </c>
      <c r="L242" s="6" t="s">
        <v>37</v>
      </c>
      <c r="M242" s="6" t="s">
        <v>22</v>
      </c>
      <c r="N242">
        <v>17.239999999999998</v>
      </c>
    </row>
    <row r="243" spans="1:14" x14ac:dyDescent="0.35">
      <c r="A243" s="6" t="s">
        <v>970</v>
      </c>
      <c r="B243" s="7">
        <v>45062</v>
      </c>
      <c r="C243" s="6" t="s">
        <v>971</v>
      </c>
      <c r="D243" s="6" t="s">
        <v>41</v>
      </c>
      <c r="E243">
        <v>5</v>
      </c>
      <c r="F243">
        <v>615.66999999999996</v>
      </c>
      <c r="G243" s="6" t="s">
        <v>972</v>
      </c>
      <c r="H243" s="6" t="s">
        <v>27</v>
      </c>
      <c r="I243" s="6" t="s">
        <v>89</v>
      </c>
      <c r="J243" s="6" t="s">
        <v>973</v>
      </c>
      <c r="K243">
        <v>6</v>
      </c>
      <c r="L243" s="6" t="s">
        <v>21</v>
      </c>
      <c r="M243" s="6" t="s">
        <v>38</v>
      </c>
      <c r="N243">
        <v>3078.35</v>
      </c>
    </row>
    <row r="244" spans="1:14" x14ac:dyDescent="0.35">
      <c r="A244" s="6" t="s">
        <v>974</v>
      </c>
      <c r="B244" s="7">
        <v>45055</v>
      </c>
      <c r="C244" s="6" t="s">
        <v>975</v>
      </c>
      <c r="D244" s="6" t="s">
        <v>48</v>
      </c>
      <c r="E244">
        <v>2</v>
      </c>
      <c r="F244">
        <v>219.1</v>
      </c>
      <c r="G244" s="6" t="s">
        <v>976</v>
      </c>
      <c r="H244" s="6" t="s">
        <v>27</v>
      </c>
      <c r="I244" s="6" t="s">
        <v>89</v>
      </c>
      <c r="J244" s="6" t="s">
        <v>977</v>
      </c>
      <c r="K244">
        <v>4</v>
      </c>
      <c r="L244" s="6" t="s">
        <v>21</v>
      </c>
      <c r="M244" s="6" t="s">
        <v>29</v>
      </c>
      <c r="N244">
        <v>438.2</v>
      </c>
    </row>
    <row r="245" spans="1:14" x14ac:dyDescent="0.35">
      <c r="A245" s="6" t="s">
        <v>978</v>
      </c>
      <c r="B245" s="7">
        <v>45786</v>
      </c>
      <c r="C245" s="6" t="s">
        <v>979</v>
      </c>
      <c r="D245" s="6" t="s">
        <v>41</v>
      </c>
      <c r="E245">
        <v>2</v>
      </c>
      <c r="F245">
        <v>144.66</v>
      </c>
      <c r="G245" s="6" t="s">
        <v>980</v>
      </c>
      <c r="H245" s="6" t="s">
        <v>27</v>
      </c>
      <c r="I245" s="6" t="s">
        <v>35</v>
      </c>
      <c r="J245" s="6" t="s">
        <v>981</v>
      </c>
      <c r="K245">
        <v>7</v>
      </c>
      <c r="L245" s="6" t="s">
        <v>37</v>
      </c>
      <c r="M245" s="6" t="s">
        <v>76</v>
      </c>
      <c r="N245">
        <v>289.32</v>
      </c>
    </row>
    <row r="246" spans="1:14" x14ac:dyDescent="0.35">
      <c r="A246" s="6" t="s">
        <v>982</v>
      </c>
      <c r="B246" s="7">
        <v>44973</v>
      </c>
      <c r="C246" s="6" t="s">
        <v>983</v>
      </c>
      <c r="D246" s="6" t="s">
        <v>73</v>
      </c>
      <c r="E246">
        <v>2</v>
      </c>
      <c r="F246">
        <v>317.77</v>
      </c>
      <c r="G246" s="6" t="s">
        <v>984</v>
      </c>
      <c r="H246" s="6" t="s">
        <v>18</v>
      </c>
      <c r="I246" s="6" t="s">
        <v>35</v>
      </c>
      <c r="J246" s="6" t="s">
        <v>985</v>
      </c>
      <c r="K246">
        <v>4</v>
      </c>
      <c r="L246" s="6" t="s">
        <v>81</v>
      </c>
      <c r="M246" s="6" t="s">
        <v>45</v>
      </c>
      <c r="N246">
        <v>635.54</v>
      </c>
    </row>
    <row r="247" spans="1:14" x14ac:dyDescent="0.35">
      <c r="A247" s="6" t="s">
        <v>986</v>
      </c>
      <c r="B247" s="7">
        <v>45767</v>
      </c>
      <c r="C247" s="6" t="s">
        <v>987</v>
      </c>
      <c r="D247" s="6" t="s">
        <v>58</v>
      </c>
      <c r="E247">
        <v>1</v>
      </c>
      <c r="F247">
        <v>223.3</v>
      </c>
      <c r="G247" s="6" t="s">
        <v>988</v>
      </c>
      <c r="H247" s="6" t="s">
        <v>27</v>
      </c>
      <c r="I247" s="6" t="s">
        <v>43</v>
      </c>
      <c r="J247" s="6" t="s">
        <v>989</v>
      </c>
      <c r="K247">
        <v>1</v>
      </c>
      <c r="L247" s="6" t="s">
        <v>4283</v>
      </c>
      <c r="M247" s="6" t="s">
        <v>45</v>
      </c>
      <c r="N247">
        <v>223.3</v>
      </c>
    </row>
    <row r="248" spans="1:14" x14ac:dyDescent="0.35">
      <c r="A248" s="6" t="s">
        <v>990</v>
      </c>
      <c r="B248" s="7">
        <v>45534</v>
      </c>
      <c r="C248" s="6" t="s">
        <v>991</v>
      </c>
      <c r="D248" s="6" t="s">
        <v>73</v>
      </c>
      <c r="E248">
        <v>2</v>
      </c>
      <c r="F248">
        <v>342.11</v>
      </c>
      <c r="G248" s="6" t="s">
        <v>992</v>
      </c>
      <c r="H248" s="6" t="s">
        <v>60</v>
      </c>
      <c r="I248" s="6" t="s">
        <v>19</v>
      </c>
      <c r="J248" s="6" t="s">
        <v>993</v>
      </c>
      <c r="K248">
        <v>2</v>
      </c>
      <c r="L248" s="6" t="s">
        <v>81</v>
      </c>
      <c r="M248" s="6" t="s">
        <v>22</v>
      </c>
      <c r="N248">
        <v>684.22</v>
      </c>
    </row>
    <row r="249" spans="1:14" x14ac:dyDescent="0.35">
      <c r="A249" s="6" t="s">
        <v>994</v>
      </c>
      <c r="B249" s="7">
        <v>45127</v>
      </c>
      <c r="C249" s="6" t="s">
        <v>995</v>
      </c>
      <c r="D249" s="6" t="s">
        <v>48</v>
      </c>
      <c r="E249">
        <v>2</v>
      </c>
      <c r="F249">
        <v>220.9</v>
      </c>
      <c r="G249" s="6" t="s">
        <v>996</v>
      </c>
      <c r="H249" s="6" t="s">
        <v>60</v>
      </c>
      <c r="I249" s="6" t="s">
        <v>19</v>
      </c>
      <c r="J249" s="6" t="s">
        <v>997</v>
      </c>
      <c r="K249">
        <v>4</v>
      </c>
      <c r="L249" s="6" t="s">
        <v>4283</v>
      </c>
      <c r="M249" s="6" t="s">
        <v>38</v>
      </c>
      <c r="N249">
        <v>441.8</v>
      </c>
    </row>
    <row r="250" spans="1:14" x14ac:dyDescent="0.35">
      <c r="A250" s="6" t="s">
        <v>998</v>
      </c>
      <c r="B250" s="7">
        <v>45109</v>
      </c>
      <c r="C250" s="6" t="s">
        <v>999</v>
      </c>
      <c r="D250" s="6" t="s">
        <v>58</v>
      </c>
      <c r="E250">
        <v>1</v>
      </c>
      <c r="F250">
        <v>670.54</v>
      </c>
      <c r="G250" s="6" t="s">
        <v>1000</v>
      </c>
      <c r="H250" s="6" t="s">
        <v>65</v>
      </c>
      <c r="I250" s="6" t="s">
        <v>19</v>
      </c>
      <c r="J250" s="6" t="s">
        <v>1001</v>
      </c>
      <c r="K250">
        <v>6</v>
      </c>
      <c r="L250" s="6" t="s">
        <v>37</v>
      </c>
      <c r="M250" s="6" t="s">
        <v>29</v>
      </c>
      <c r="N250">
        <v>670.54</v>
      </c>
    </row>
    <row r="251" spans="1:14" x14ac:dyDescent="0.35">
      <c r="A251" s="6" t="s">
        <v>1002</v>
      </c>
      <c r="B251" s="7">
        <v>45329</v>
      </c>
      <c r="C251" s="6" t="s">
        <v>1003</v>
      </c>
      <c r="D251" s="6" t="s">
        <v>48</v>
      </c>
      <c r="E251">
        <v>1</v>
      </c>
      <c r="F251">
        <v>546.19000000000005</v>
      </c>
      <c r="G251" s="6" t="s">
        <v>1004</v>
      </c>
      <c r="H251" s="6" t="s">
        <v>65</v>
      </c>
      <c r="I251" s="6" t="s">
        <v>89</v>
      </c>
      <c r="J251" s="6" t="s">
        <v>1005</v>
      </c>
      <c r="K251">
        <v>5</v>
      </c>
      <c r="L251" s="6" t="s">
        <v>37</v>
      </c>
      <c r="M251" s="6" t="s">
        <v>29</v>
      </c>
      <c r="N251">
        <v>546.19000000000005</v>
      </c>
    </row>
    <row r="252" spans="1:14" x14ac:dyDescent="0.35">
      <c r="A252" s="6" t="s">
        <v>1006</v>
      </c>
      <c r="B252" s="7">
        <v>45021</v>
      </c>
      <c r="C252" s="6" t="s">
        <v>1007</v>
      </c>
      <c r="D252" s="6" t="s">
        <v>73</v>
      </c>
      <c r="E252">
        <v>3</v>
      </c>
      <c r="F252">
        <v>42.95</v>
      </c>
      <c r="G252" s="6" t="s">
        <v>387</v>
      </c>
      <c r="H252" s="6" t="s">
        <v>60</v>
      </c>
      <c r="I252" s="6" t="s">
        <v>43</v>
      </c>
      <c r="J252" s="6" t="s">
        <v>1008</v>
      </c>
      <c r="K252">
        <v>8</v>
      </c>
      <c r="L252" s="6" t="s">
        <v>21</v>
      </c>
      <c r="M252" s="6" t="s">
        <v>38</v>
      </c>
      <c r="N252">
        <v>128.85</v>
      </c>
    </row>
    <row r="253" spans="1:14" x14ac:dyDescent="0.35">
      <c r="A253" s="6" t="s">
        <v>1009</v>
      </c>
      <c r="B253" s="7">
        <v>45792</v>
      </c>
      <c r="C253" s="6" t="s">
        <v>1010</v>
      </c>
      <c r="D253" s="6" t="s">
        <v>16</v>
      </c>
      <c r="E253">
        <v>4</v>
      </c>
      <c r="F253">
        <v>14.69</v>
      </c>
      <c r="G253" s="6" t="s">
        <v>1011</v>
      </c>
      <c r="H253" s="6" t="s">
        <v>65</v>
      </c>
      <c r="I253" s="6" t="s">
        <v>35</v>
      </c>
      <c r="J253" s="6" t="s">
        <v>1012</v>
      </c>
      <c r="K253">
        <v>9</v>
      </c>
      <c r="L253" s="6" t="s">
        <v>4283</v>
      </c>
      <c r="M253" s="6" t="s">
        <v>38</v>
      </c>
      <c r="N253">
        <v>58.76</v>
      </c>
    </row>
    <row r="254" spans="1:14" x14ac:dyDescent="0.35">
      <c r="A254" s="6" t="s">
        <v>1013</v>
      </c>
      <c r="B254" s="7">
        <v>45555</v>
      </c>
      <c r="C254" s="6" t="s">
        <v>1014</v>
      </c>
      <c r="D254" s="6" t="s">
        <v>25</v>
      </c>
      <c r="E254">
        <v>4</v>
      </c>
      <c r="F254">
        <v>668.36</v>
      </c>
      <c r="G254" s="6" t="s">
        <v>1015</v>
      </c>
      <c r="H254" s="6" t="s">
        <v>60</v>
      </c>
      <c r="I254" s="6" t="s">
        <v>35</v>
      </c>
      <c r="J254" s="6" t="s">
        <v>1016</v>
      </c>
      <c r="K254">
        <v>5</v>
      </c>
      <c r="L254" s="6" t="s">
        <v>37</v>
      </c>
      <c r="M254" s="6" t="s">
        <v>45</v>
      </c>
      <c r="N254">
        <v>2673.44</v>
      </c>
    </row>
    <row r="255" spans="1:14" x14ac:dyDescent="0.35">
      <c r="A255" s="6" t="s">
        <v>1017</v>
      </c>
      <c r="B255" s="7">
        <v>45374</v>
      </c>
      <c r="C255" s="6" t="s">
        <v>1018</v>
      </c>
      <c r="D255" s="6" t="s">
        <v>41</v>
      </c>
      <c r="E255">
        <v>4</v>
      </c>
      <c r="F255">
        <v>413.74</v>
      </c>
      <c r="G255" s="6" t="s">
        <v>434</v>
      </c>
      <c r="H255" s="6" t="s">
        <v>60</v>
      </c>
      <c r="I255" s="6" t="s">
        <v>43</v>
      </c>
      <c r="J255" s="6" t="s">
        <v>1019</v>
      </c>
      <c r="K255">
        <v>7</v>
      </c>
      <c r="L255" s="6" t="s">
        <v>37</v>
      </c>
      <c r="M255" s="6" t="s">
        <v>22</v>
      </c>
      <c r="N255">
        <v>1654.96</v>
      </c>
    </row>
    <row r="256" spans="1:14" x14ac:dyDescent="0.35">
      <c r="A256" s="6" t="s">
        <v>1020</v>
      </c>
      <c r="B256" s="7">
        <v>45286</v>
      </c>
      <c r="C256" s="6" t="s">
        <v>1021</v>
      </c>
      <c r="D256" s="6" t="s">
        <v>16</v>
      </c>
      <c r="E256">
        <v>3</v>
      </c>
      <c r="F256">
        <v>263.19</v>
      </c>
      <c r="G256" s="6" t="s">
        <v>960</v>
      </c>
      <c r="H256" s="6" t="s">
        <v>27</v>
      </c>
      <c r="I256" s="6" t="s">
        <v>50</v>
      </c>
      <c r="J256" s="6" t="s">
        <v>1022</v>
      </c>
      <c r="K256">
        <v>5</v>
      </c>
      <c r="L256" s="6" t="s">
        <v>4283</v>
      </c>
      <c r="M256" s="6" t="s">
        <v>22</v>
      </c>
      <c r="N256">
        <v>789.57</v>
      </c>
    </row>
    <row r="257" spans="1:14" x14ac:dyDescent="0.35">
      <c r="A257" s="6" t="s">
        <v>1023</v>
      </c>
      <c r="B257" s="7">
        <v>45425</v>
      </c>
      <c r="C257" s="6" t="s">
        <v>1024</v>
      </c>
      <c r="D257" s="6" t="s">
        <v>16</v>
      </c>
      <c r="E257">
        <v>1</v>
      </c>
      <c r="F257">
        <v>263.95999999999998</v>
      </c>
      <c r="G257" s="6" t="s">
        <v>715</v>
      </c>
      <c r="H257" s="6" t="s">
        <v>60</v>
      </c>
      <c r="I257" s="6" t="s">
        <v>43</v>
      </c>
      <c r="J257" s="6" t="s">
        <v>1025</v>
      </c>
      <c r="K257">
        <v>2</v>
      </c>
      <c r="L257" s="6" t="s">
        <v>21</v>
      </c>
      <c r="M257" s="6" t="s">
        <v>76</v>
      </c>
      <c r="N257">
        <v>263.95999999999998</v>
      </c>
    </row>
    <row r="258" spans="1:14" x14ac:dyDescent="0.35">
      <c r="A258" s="6" t="s">
        <v>1026</v>
      </c>
      <c r="B258" s="7">
        <v>45838</v>
      </c>
      <c r="C258" s="6" t="s">
        <v>1027</v>
      </c>
      <c r="D258" s="6" t="s">
        <v>41</v>
      </c>
      <c r="E258">
        <v>5</v>
      </c>
      <c r="F258">
        <v>75.81</v>
      </c>
      <c r="G258" s="6" t="s">
        <v>1028</v>
      </c>
      <c r="H258" s="6" t="s">
        <v>60</v>
      </c>
      <c r="I258" s="6" t="s">
        <v>43</v>
      </c>
      <c r="J258" s="6" t="s">
        <v>1029</v>
      </c>
      <c r="K258">
        <v>10</v>
      </c>
      <c r="L258" s="6" t="s">
        <v>81</v>
      </c>
      <c r="M258" s="6" t="s">
        <v>22</v>
      </c>
      <c r="N258">
        <v>379.05</v>
      </c>
    </row>
    <row r="259" spans="1:14" x14ac:dyDescent="0.35">
      <c r="A259" s="6" t="s">
        <v>1030</v>
      </c>
      <c r="B259" s="7">
        <v>45405</v>
      </c>
      <c r="C259" s="6" t="s">
        <v>1031</v>
      </c>
      <c r="D259" s="6" t="s">
        <v>25</v>
      </c>
      <c r="E259">
        <v>1</v>
      </c>
      <c r="F259">
        <v>406.22</v>
      </c>
      <c r="G259" s="6" t="s">
        <v>1032</v>
      </c>
      <c r="H259" s="6" t="s">
        <v>34</v>
      </c>
      <c r="I259" s="6" t="s">
        <v>35</v>
      </c>
      <c r="J259" s="6" t="s">
        <v>1033</v>
      </c>
      <c r="K259">
        <v>5</v>
      </c>
      <c r="L259" s="6" t="s">
        <v>21</v>
      </c>
      <c r="M259" s="6" t="s">
        <v>29</v>
      </c>
      <c r="N259">
        <v>406.22</v>
      </c>
    </row>
    <row r="260" spans="1:14" x14ac:dyDescent="0.35">
      <c r="A260" s="6" t="s">
        <v>1034</v>
      </c>
      <c r="B260" s="7">
        <v>45348</v>
      </c>
      <c r="C260" s="6" t="s">
        <v>1035</v>
      </c>
      <c r="D260" s="6" t="s">
        <v>32</v>
      </c>
      <c r="E260">
        <v>2</v>
      </c>
      <c r="F260">
        <v>103.41</v>
      </c>
      <c r="G260" s="6" t="s">
        <v>1036</v>
      </c>
      <c r="H260" s="6" t="s">
        <v>27</v>
      </c>
      <c r="I260" s="6" t="s">
        <v>19</v>
      </c>
      <c r="J260" s="6" t="s">
        <v>1037</v>
      </c>
      <c r="K260">
        <v>2</v>
      </c>
      <c r="L260" s="6" t="s">
        <v>37</v>
      </c>
      <c r="M260" s="6" t="s">
        <v>29</v>
      </c>
      <c r="N260">
        <v>206.82</v>
      </c>
    </row>
    <row r="261" spans="1:14" x14ac:dyDescent="0.35">
      <c r="A261" s="6" t="s">
        <v>1038</v>
      </c>
      <c r="B261" s="7">
        <v>45088</v>
      </c>
      <c r="C261" s="6" t="s">
        <v>1039</v>
      </c>
      <c r="D261" s="6" t="s">
        <v>41</v>
      </c>
      <c r="E261">
        <v>4</v>
      </c>
      <c r="F261">
        <v>435.12</v>
      </c>
      <c r="G261" s="6" t="s">
        <v>565</v>
      </c>
      <c r="H261" s="6" t="s">
        <v>34</v>
      </c>
      <c r="I261" s="6" t="s">
        <v>50</v>
      </c>
      <c r="J261" s="6" t="s">
        <v>1040</v>
      </c>
      <c r="K261">
        <v>9</v>
      </c>
      <c r="L261" s="6" t="s">
        <v>21</v>
      </c>
      <c r="M261" s="6" t="s">
        <v>22</v>
      </c>
      <c r="N261">
        <v>1740.48</v>
      </c>
    </row>
    <row r="262" spans="1:14" x14ac:dyDescent="0.35">
      <c r="A262" s="6" t="s">
        <v>1041</v>
      </c>
      <c r="B262" s="7">
        <v>45063</v>
      </c>
      <c r="C262" s="6" t="s">
        <v>1042</v>
      </c>
      <c r="D262" s="6" t="s">
        <v>16</v>
      </c>
      <c r="E262">
        <v>2</v>
      </c>
      <c r="F262">
        <v>407.79</v>
      </c>
      <c r="G262" s="6" t="s">
        <v>1043</v>
      </c>
      <c r="H262" s="6" t="s">
        <v>18</v>
      </c>
      <c r="I262" s="6" t="s">
        <v>19</v>
      </c>
      <c r="J262" s="6" t="s">
        <v>1044</v>
      </c>
      <c r="K262">
        <v>3</v>
      </c>
      <c r="L262" s="6" t="s">
        <v>4283</v>
      </c>
      <c r="M262" s="6" t="s">
        <v>76</v>
      </c>
      <c r="N262">
        <v>815.58</v>
      </c>
    </row>
    <row r="263" spans="1:14" x14ac:dyDescent="0.35">
      <c r="A263" s="6" t="s">
        <v>1045</v>
      </c>
      <c r="B263" s="7">
        <v>45805</v>
      </c>
      <c r="C263" s="6" t="s">
        <v>1046</v>
      </c>
      <c r="D263" s="6" t="s">
        <v>25</v>
      </c>
      <c r="E263">
        <v>5</v>
      </c>
      <c r="F263">
        <v>173.65</v>
      </c>
      <c r="G263" s="6" t="s">
        <v>1047</v>
      </c>
      <c r="H263" s="6" t="s">
        <v>60</v>
      </c>
      <c r="I263" s="6" t="s">
        <v>50</v>
      </c>
      <c r="J263" s="6" t="s">
        <v>1048</v>
      </c>
      <c r="K263">
        <v>9</v>
      </c>
      <c r="L263" s="6" t="s">
        <v>21</v>
      </c>
      <c r="M263" s="6" t="s">
        <v>38</v>
      </c>
      <c r="N263">
        <v>868.25</v>
      </c>
    </row>
    <row r="264" spans="1:14" x14ac:dyDescent="0.35">
      <c r="A264" s="6" t="s">
        <v>1049</v>
      </c>
      <c r="B264" s="7">
        <v>44936</v>
      </c>
      <c r="C264" s="6" t="s">
        <v>1050</v>
      </c>
      <c r="D264" s="6" t="s">
        <v>25</v>
      </c>
      <c r="E264">
        <v>4</v>
      </c>
      <c r="F264">
        <v>249.07</v>
      </c>
      <c r="G264" s="6" t="s">
        <v>572</v>
      </c>
      <c r="H264" s="6" t="s">
        <v>34</v>
      </c>
      <c r="I264" s="6" t="s">
        <v>43</v>
      </c>
      <c r="J264" s="6" t="s">
        <v>1051</v>
      </c>
      <c r="K264">
        <v>5</v>
      </c>
      <c r="L264" s="6" t="s">
        <v>81</v>
      </c>
      <c r="M264" s="6" t="s">
        <v>29</v>
      </c>
      <c r="N264">
        <v>996.28</v>
      </c>
    </row>
    <row r="265" spans="1:14" x14ac:dyDescent="0.35">
      <c r="A265" s="6" t="s">
        <v>1052</v>
      </c>
      <c r="B265" s="7">
        <v>45010</v>
      </c>
      <c r="C265" s="6" t="s">
        <v>1053</v>
      </c>
      <c r="D265" s="6" t="s">
        <v>25</v>
      </c>
      <c r="E265">
        <v>4</v>
      </c>
      <c r="F265">
        <v>434.85</v>
      </c>
      <c r="G265" s="6" t="s">
        <v>1054</v>
      </c>
      <c r="H265" s="6" t="s">
        <v>34</v>
      </c>
      <c r="I265" s="6" t="s">
        <v>89</v>
      </c>
      <c r="J265" s="6" t="s">
        <v>1055</v>
      </c>
      <c r="K265">
        <v>4</v>
      </c>
      <c r="L265" s="6" t="s">
        <v>81</v>
      </c>
      <c r="M265" s="6" t="s">
        <v>76</v>
      </c>
      <c r="N265">
        <v>1739.4</v>
      </c>
    </row>
    <row r="266" spans="1:14" x14ac:dyDescent="0.35">
      <c r="A266" s="6" t="s">
        <v>1056</v>
      </c>
      <c r="B266" s="7">
        <v>45507</v>
      </c>
      <c r="C266" s="6" t="s">
        <v>1057</v>
      </c>
      <c r="D266" s="6" t="s">
        <v>32</v>
      </c>
      <c r="E266">
        <v>1</v>
      </c>
      <c r="F266">
        <v>436.77</v>
      </c>
      <c r="G266" s="6" t="s">
        <v>1058</v>
      </c>
      <c r="H266" s="6" t="s">
        <v>65</v>
      </c>
      <c r="I266" s="6" t="s">
        <v>43</v>
      </c>
      <c r="J266" s="6" t="s">
        <v>1059</v>
      </c>
      <c r="K266">
        <v>5</v>
      </c>
      <c r="L266" s="6" t="s">
        <v>37</v>
      </c>
      <c r="M266" s="6" t="s">
        <v>76</v>
      </c>
      <c r="N266">
        <v>436.77</v>
      </c>
    </row>
    <row r="267" spans="1:14" x14ac:dyDescent="0.35">
      <c r="A267" s="6" t="s">
        <v>1060</v>
      </c>
      <c r="B267" s="7">
        <v>45282</v>
      </c>
      <c r="C267" s="6" t="s">
        <v>1061</v>
      </c>
      <c r="D267" s="6" t="s">
        <v>48</v>
      </c>
      <c r="E267">
        <v>1</v>
      </c>
      <c r="F267">
        <v>572.13</v>
      </c>
      <c r="G267" s="6" t="s">
        <v>1062</v>
      </c>
      <c r="H267" s="6" t="s">
        <v>18</v>
      </c>
      <c r="I267" s="6" t="s">
        <v>35</v>
      </c>
      <c r="J267" s="6" t="s">
        <v>1063</v>
      </c>
      <c r="K267">
        <v>4</v>
      </c>
      <c r="L267" s="6" t="s">
        <v>21</v>
      </c>
      <c r="M267" s="6" t="s">
        <v>76</v>
      </c>
      <c r="N267">
        <v>572.13</v>
      </c>
    </row>
    <row r="268" spans="1:14" x14ac:dyDescent="0.35">
      <c r="A268" s="6" t="s">
        <v>1064</v>
      </c>
      <c r="B268" s="7">
        <v>45451</v>
      </c>
      <c r="C268" s="6" t="s">
        <v>1065</v>
      </c>
      <c r="D268" s="6" t="s">
        <v>41</v>
      </c>
      <c r="E268">
        <v>4</v>
      </c>
      <c r="F268">
        <v>583.07000000000005</v>
      </c>
      <c r="G268" s="6" t="s">
        <v>1066</v>
      </c>
      <c r="H268" s="6" t="s">
        <v>34</v>
      </c>
      <c r="I268" s="6" t="s">
        <v>35</v>
      </c>
      <c r="J268" s="6" t="s">
        <v>1067</v>
      </c>
      <c r="K268">
        <v>6</v>
      </c>
      <c r="L268" s="6" t="s">
        <v>37</v>
      </c>
      <c r="M268" s="6" t="s">
        <v>29</v>
      </c>
      <c r="N268">
        <v>2332.2800000000002</v>
      </c>
    </row>
    <row r="269" spans="1:14" x14ac:dyDescent="0.35">
      <c r="A269" s="6" t="s">
        <v>1068</v>
      </c>
      <c r="B269" s="7">
        <v>45764</v>
      </c>
      <c r="C269" s="6" t="s">
        <v>1069</v>
      </c>
      <c r="D269" s="6" t="s">
        <v>41</v>
      </c>
      <c r="E269">
        <v>5</v>
      </c>
      <c r="F269">
        <v>468.51</v>
      </c>
      <c r="G269" s="6" t="s">
        <v>1070</v>
      </c>
      <c r="H269" s="6" t="s">
        <v>18</v>
      </c>
      <c r="I269" s="6" t="s">
        <v>50</v>
      </c>
      <c r="J269" s="6" t="s">
        <v>1071</v>
      </c>
      <c r="K269">
        <v>9</v>
      </c>
      <c r="L269" s="6" t="s">
        <v>4283</v>
      </c>
      <c r="M269" s="6" t="s">
        <v>45</v>
      </c>
      <c r="N269">
        <v>2342.5500000000002</v>
      </c>
    </row>
    <row r="270" spans="1:14" x14ac:dyDescent="0.35">
      <c r="A270" s="6" t="s">
        <v>1072</v>
      </c>
      <c r="B270" s="7">
        <v>45149</v>
      </c>
      <c r="C270" s="6" t="s">
        <v>1073</v>
      </c>
      <c r="D270" s="6" t="s">
        <v>25</v>
      </c>
      <c r="E270">
        <v>2</v>
      </c>
      <c r="F270">
        <v>423.88</v>
      </c>
      <c r="G270" s="6" t="s">
        <v>1074</v>
      </c>
      <c r="H270" s="6" t="s">
        <v>18</v>
      </c>
      <c r="I270" s="6" t="s">
        <v>50</v>
      </c>
      <c r="J270" s="6" t="s">
        <v>1075</v>
      </c>
      <c r="K270">
        <v>7</v>
      </c>
      <c r="L270" s="6" t="s">
        <v>21</v>
      </c>
      <c r="M270" s="6" t="s">
        <v>29</v>
      </c>
      <c r="N270">
        <v>847.76</v>
      </c>
    </row>
    <row r="271" spans="1:14" x14ac:dyDescent="0.35">
      <c r="A271" s="6" t="s">
        <v>1076</v>
      </c>
      <c r="B271" s="7">
        <v>45255</v>
      </c>
      <c r="C271" s="6" t="s">
        <v>1077</v>
      </c>
      <c r="D271" s="6" t="s">
        <v>32</v>
      </c>
      <c r="E271">
        <v>4</v>
      </c>
      <c r="F271">
        <v>663.67</v>
      </c>
      <c r="G271" s="6" t="s">
        <v>327</v>
      </c>
      <c r="H271" s="6" t="s">
        <v>34</v>
      </c>
      <c r="I271" s="6" t="s">
        <v>89</v>
      </c>
      <c r="J271" s="6" t="s">
        <v>1078</v>
      </c>
      <c r="K271">
        <v>7</v>
      </c>
      <c r="L271" s="6" t="s">
        <v>37</v>
      </c>
      <c r="M271" s="6" t="s">
        <v>76</v>
      </c>
      <c r="N271">
        <v>2654.68</v>
      </c>
    </row>
    <row r="272" spans="1:14" x14ac:dyDescent="0.35">
      <c r="A272" s="6" t="s">
        <v>1079</v>
      </c>
      <c r="B272" s="7">
        <v>45081</v>
      </c>
      <c r="C272" s="6" t="s">
        <v>1080</v>
      </c>
      <c r="D272" s="6" t="s">
        <v>48</v>
      </c>
      <c r="E272">
        <v>4</v>
      </c>
      <c r="F272">
        <v>309.91000000000003</v>
      </c>
      <c r="G272" s="6" t="s">
        <v>1081</v>
      </c>
      <c r="H272" s="6" t="s">
        <v>18</v>
      </c>
      <c r="I272" s="6" t="s">
        <v>19</v>
      </c>
      <c r="J272" s="6" t="s">
        <v>1082</v>
      </c>
      <c r="K272">
        <v>5</v>
      </c>
      <c r="L272" s="6" t="s">
        <v>81</v>
      </c>
      <c r="M272" s="6" t="s">
        <v>76</v>
      </c>
      <c r="N272">
        <v>1239.6400000000001</v>
      </c>
    </row>
    <row r="273" spans="1:14" x14ac:dyDescent="0.35">
      <c r="A273" s="6" t="s">
        <v>1083</v>
      </c>
      <c r="B273" s="7">
        <v>45013</v>
      </c>
      <c r="C273" s="6" t="s">
        <v>1084</v>
      </c>
      <c r="D273" s="6" t="s">
        <v>16</v>
      </c>
      <c r="E273">
        <v>1</v>
      </c>
      <c r="F273">
        <v>542.07000000000005</v>
      </c>
      <c r="G273" s="6" t="s">
        <v>1085</v>
      </c>
      <c r="H273" s="6" t="s">
        <v>65</v>
      </c>
      <c r="I273" s="6" t="s">
        <v>19</v>
      </c>
      <c r="J273" s="6" t="s">
        <v>1086</v>
      </c>
      <c r="K273">
        <v>6</v>
      </c>
      <c r="L273" s="6" t="s">
        <v>81</v>
      </c>
      <c r="M273" s="6" t="s">
        <v>29</v>
      </c>
      <c r="N273">
        <v>542.07000000000005</v>
      </c>
    </row>
    <row r="274" spans="1:14" x14ac:dyDescent="0.35">
      <c r="A274" s="6" t="s">
        <v>1087</v>
      </c>
      <c r="B274" s="7">
        <v>45188</v>
      </c>
      <c r="C274" s="6" t="s">
        <v>1088</v>
      </c>
      <c r="D274" s="6" t="s">
        <v>41</v>
      </c>
      <c r="E274">
        <v>2</v>
      </c>
      <c r="F274">
        <v>399.32</v>
      </c>
      <c r="G274" s="6" t="s">
        <v>1089</v>
      </c>
      <c r="H274" s="6" t="s">
        <v>27</v>
      </c>
      <c r="I274" s="6" t="s">
        <v>89</v>
      </c>
      <c r="J274" s="6" t="s">
        <v>1090</v>
      </c>
      <c r="K274">
        <v>6</v>
      </c>
      <c r="L274" s="6" t="s">
        <v>81</v>
      </c>
      <c r="M274" s="6" t="s">
        <v>22</v>
      </c>
      <c r="N274">
        <v>798.64</v>
      </c>
    </row>
    <row r="275" spans="1:14" x14ac:dyDescent="0.35">
      <c r="A275" s="6" t="s">
        <v>1091</v>
      </c>
      <c r="B275" s="7">
        <v>45592</v>
      </c>
      <c r="C275" s="6" t="s">
        <v>1092</v>
      </c>
      <c r="D275" s="6" t="s">
        <v>32</v>
      </c>
      <c r="E275">
        <v>2</v>
      </c>
      <c r="F275">
        <v>238.25</v>
      </c>
      <c r="G275" s="6" t="s">
        <v>1093</v>
      </c>
      <c r="H275" s="6" t="s">
        <v>27</v>
      </c>
      <c r="I275" s="6" t="s">
        <v>35</v>
      </c>
      <c r="J275" s="6" t="s">
        <v>1094</v>
      </c>
      <c r="K275">
        <v>7</v>
      </c>
      <c r="L275" s="6" t="s">
        <v>37</v>
      </c>
      <c r="M275" s="6" t="s">
        <v>38</v>
      </c>
      <c r="N275">
        <v>476.5</v>
      </c>
    </row>
    <row r="276" spans="1:14" x14ac:dyDescent="0.35">
      <c r="A276" s="6" t="s">
        <v>1095</v>
      </c>
      <c r="B276" s="7">
        <v>44961</v>
      </c>
      <c r="C276" s="6" t="s">
        <v>1096</v>
      </c>
      <c r="D276" s="6" t="s">
        <v>25</v>
      </c>
      <c r="E276">
        <v>2</v>
      </c>
      <c r="F276">
        <v>182.4</v>
      </c>
      <c r="G276" s="6" t="s">
        <v>1097</v>
      </c>
      <c r="H276" s="6" t="s">
        <v>60</v>
      </c>
      <c r="I276" s="6" t="s">
        <v>35</v>
      </c>
      <c r="J276" s="6" t="s">
        <v>1098</v>
      </c>
      <c r="K276">
        <v>5</v>
      </c>
      <c r="L276" s="6" t="s">
        <v>21</v>
      </c>
      <c r="M276" s="6" t="s">
        <v>29</v>
      </c>
      <c r="N276">
        <v>364.8</v>
      </c>
    </row>
    <row r="277" spans="1:14" x14ac:dyDescent="0.35">
      <c r="A277" s="6" t="s">
        <v>1099</v>
      </c>
      <c r="B277" s="7">
        <v>45234</v>
      </c>
      <c r="C277" s="6" t="s">
        <v>1100</v>
      </c>
      <c r="D277" s="6" t="s">
        <v>41</v>
      </c>
      <c r="E277">
        <v>2</v>
      </c>
      <c r="F277">
        <v>65.069999999999993</v>
      </c>
      <c r="G277" s="6" t="s">
        <v>1101</v>
      </c>
      <c r="H277" s="6" t="s">
        <v>34</v>
      </c>
      <c r="I277" s="6" t="s">
        <v>35</v>
      </c>
      <c r="J277" s="6" t="s">
        <v>1102</v>
      </c>
      <c r="K277">
        <v>4</v>
      </c>
      <c r="L277" s="6" t="s">
        <v>21</v>
      </c>
      <c r="M277" s="6" t="s">
        <v>76</v>
      </c>
      <c r="N277">
        <v>130.13999999999999</v>
      </c>
    </row>
    <row r="278" spans="1:14" x14ac:dyDescent="0.35">
      <c r="A278" s="6" t="s">
        <v>1103</v>
      </c>
      <c r="B278" s="7">
        <v>45745</v>
      </c>
      <c r="C278" s="6" t="s">
        <v>1104</v>
      </c>
      <c r="D278" s="6" t="s">
        <v>48</v>
      </c>
      <c r="E278">
        <v>2</v>
      </c>
      <c r="F278">
        <v>600.57000000000005</v>
      </c>
      <c r="G278" s="6" t="s">
        <v>1105</v>
      </c>
      <c r="H278" s="6" t="s">
        <v>18</v>
      </c>
      <c r="I278" s="6" t="s">
        <v>43</v>
      </c>
      <c r="J278" s="6" t="s">
        <v>1106</v>
      </c>
      <c r="K278">
        <v>3</v>
      </c>
      <c r="L278" s="6" t="s">
        <v>81</v>
      </c>
      <c r="M278" s="6" t="s">
        <v>22</v>
      </c>
      <c r="N278">
        <v>1201.1400000000001</v>
      </c>
    </row>
    <row r="279" spans="1:14" x14ac:dyDescent="0.35">
      <c r="A279" s="6" t="s">
        <v>1107</v>
      </c>
      <c r="B279" s="7">
        <v>45544</v>
      </c>
      <c r="C279" s="6" t="s">
        <v>1108</v>
      </c>
      <c r="D279" s="6" t="s">
        <v>41</v>
      </c>
      <c r="E279">
        <v>5</v>
      </c>
      <c r="F279">
        <v>90.92</v>
      </c>
      <c r="G279" s="6" t="s">
        <v>1109</v>
      </c>
      <c r="H279" s="6" t="s">
        <v>34</v>
      </c>
      <c r="I279" s="6" t="s">
        <v>50</v>
      </c>
      <c r="J279" s="6" t="s">
        <v>1110</v>
      </c>
      <c r="K279">
        <v>9</v>
      </c>
      <c r="L279" s="6" t="s">
        <v>21</v>
      </c>
      <c r="M279" s="6" t="s">
        <v>45</v>
      </c>
      <c r="N279">
        <v>454.6</v>
      </c>
    </row>
    <row r="280" spans="1:14" x14ac:dyDescent="0.35">
      <c r="A280" s="6" t="s">
        <v>1111</v>
      </c>
      <c r="B280" s="7">
        <v>45614</v>
      </c>
      <c r="C280" s="6" t="s">
        <v>1112</v>
      </c>
      <c r="D280" s="6" t="s">
        <v>58</v>
      </c>
      <c r="E280">
        <v>5</v>
      </c>
      <c r="F280">
        <v>362.46</v>
      </c>
      <c r="G280" s="6" t="s">
        <v>1113</v>
      </c>
      <c r="H280" s="6" t="s">
        <v>65</v>
      </c>
      <c r="I280" s="6" t="s">
        <v>50</v>
      </c>
      <c r="J280" s="6" t="s">
        <v>1114</v>
      </c>
      <c r="K280">
        <v>6</v>
      </c>
      <c r="L280" s="6" t="s">
        <v>37</v>
      </c>
      <c r="M280" s="6" t="s">
        <v>22</v>
      </c>
      <c r="N280">
        <v>1812.3</v>
      </c>
    </row>
    <row r="281" spans="1:14" x14ac:dyDescent="0.35">
      <c r="A281" s="6" t="s">
        <v>1115</v>
      </c>
      <c r="B281" s="7">
        <v>45219</v>
      </c>
      <c r="C281" s="6" t="s">
        <v>1116</v>
      </c>
      <c r="D281" s="6" t="s">
        <v>41</v>
      </c>
      <c r="E281">
        <v>3</v>
      </c>
      <c r="F281">
        <v>55.01</v>
      </c>
      <c r="G281" s="6" t="s">
        <v>1117</v>
      </c>
      <c r="H281" s="6" t="s">
        <v>27</v>
      </c>
      <c r="I281" s="6" t="s">
        <v>89</v>
      </c>
      <c r="J281" s="6" t="s">
        <v>1118</v>
      </c>
      <c r="K281">
        <v>7</v>
      </c>
      <c r="L281" s="6" t="s">
        <v>81</v>
      </c>
      <c r="M281" s="6" t="s">
        <v>38</v>
      </c>
      <c r="N281">
        <v>165.03</v>
      </c>
    </row>
    <row r="282" spans="1:14" x14ac:dyDescent="0.35">
      <c r="A282" s="6" t="s">
        <v>1119</v>
      </c>
      <c r="B282" s="7">
        <v>45012</v>
      </c>
      <c r="C282" s="6" t="s">
        <v>1120</v>
      </c>
      <c r="D282" s="6" t="s">
        <v>32</v>
      </c>
      <c r="E282">
        <v>3</v>
      </c>
      <c r="F282">
        <v>404.62</v>
      </c>
      <c r="G282" s="6" t="s">
        <v>1121</v>
      </c>
      <c r="H282" s="6" t="s">
        <v>60</v>
      </c>
      <c r="I282" s="6" t="s">
        <v>50</v>
      </c>
      <c r="J282" s="6" t="s">
        <v>1122</v>
      </c>
      <c r="K282">
        <v>6</v>
      </c>
      <c r="L282" s="6" t="s">
        <v>37</v>
      </c>
      <c r="M282" s="6" t="s">
        <v>22</v>
      </c>
      <c r="N282">
        <v>1213.8599999999999</v>
      </c>
    </row>
    <row r="283" spans="1:14" x14ac:dyDescent="0.35">
      <c r="A283" s="6" t="s">
        <v>1123</v>
      </c>
      <c r="B283" s="7">
        <v>45134</v>
      </c>
      <c r="C283" s="6" t="s">
        <v>1124</v>
      </c>
      <c r="D283" s="6" t="s">
        <v>73</v>
      </c>
      <c r="E283">
        <v>4</v>
      </c>
      <c r="F283">
        <v>654.79</v>
      </c>
      <c r="G283" s="6" t="s">
        <v>1125</v>
      </c>
      <c r="H283" s="6" t="s">
        <v>65</v>
      </c>
      <c r="I283" s="6" t="s">
        <v>89</v>
      </c>
      <c r="J283" s="6" t="s">
        <v>1126</v>
      </c>
      <c r="K283">
        <v>9</v>
      </c>
      <c r="L283" s="6" t="s">
        <v>4283</v>
      </c>
      <c r="M283" s="6" t="s">
        <v>29</v>
      </c>
      <c r="N283">
        <v>2619.16</v>
      </c>
    </row>
    <row r="284" spans="1:14" x14ac:dyDescent="0.35">
      <c r="A284" s="6" t="s">
        <v>1127</v>
      </c>
      <c r="B284" s="7">
        <v>45769</v>
      </c>
      <c r="C284" s="6" t="s">
        <v>1128</v>
      </c>
      <c r="D284" s="6" t="s">
        <v>48</v>
      </c>
      <c r="E284">
        <v>4</v>
      </c>
      <c r="F284">
        <v>637.79</v>
      </c>
      <c r="G284" s="6" t="s">
        <v>1129</v>
      </c>
      <c r="H284" s="6" t="s">
        <v>60</v>
      </c>
      <c r="I284" s="6" t="s">
        <v>35</v>
      </c>
      <c r="J284" s="6" t="s">
        <v>1130</v>
      </c>
      <c r="K284">
        <v>9</v>
      </c>
      <c r="L284" s="6" t="s">
        <v>37</v>
      </c>
      <c r="M284" s="6" t="s">
        <v>76</v>
      </c>
      <c r="N284">
        <v>2551.16</v>
      </c>
    </row>
    <row r="285" spans="1:14" x14ac:dyDescent="0.35">
      <c r="A285" s="6" t="s">
        <v>1131</v>
      </c>
      <c r="B285" s="7">
        <v>45716</v>
      </c>
      <c r="C285" s="6" t="s">
        <v>1132</v>
      </c>
      <c r="D285" s="6" t="s">
        <v>58</v>
      </c>
      <c r="E285">
        <v>4</v>
      </c>
      <c r="F285">
        <v>540.33000000000004</v>
      </c>
      <c r="G285" s="6" t="s">
        <v>1133</v>
      </c>
      <c r="H285" s="6" t="s">
        <v>65</v>
      </c>
      <c r="I285" s="6" t="s">
        <v>19</v>
      </c>
      <c r="J285" s="6" t="s">
        <v>1134</v>
      </c>
      <c r="K285">
        <v>6</v>
      </c>
      <c r="L285" s="6" t="s">
        <v>4283</v>
      </c>
      <c r="M285" s="6" t="s">
        <v>76</v>
      </c>
      <c r="N285">
        <v>2161.3200000000002</v>
      </c>
    </row>
    <row r="286" spans="1:14" x14ac:dyDescent="0.35">
      <c r="A286" s="6" t="s">
        <v>1135</v>
      </c>
      <c r="B286" s="7">
        <v>44973</v>
      </c>
      <c r="C286" s="6" t="s">
        <v>1136</v>
      </c>
      <c r="D286" s="6" t="s">
        <v>58</v>
      </c>
      <c r="E286">
        <v>5</v>
      </c>
      <c r="F286">
        <v>208.17</v>
      </c>
      <c r="G286" s="6" t="s">
        <v>1137</v>
      </c>
      <c r="H286" s="6" t="s">
        <v>34</v>
      </c>
      <c r="I286" s="6" t="s">
        <v>43</v>
      </c>
      <c r="J286" s="6" t="s">
        <v>1138</v>
      </c>
      <c r="K286">
        <v>6</v>
      </c>
      <c r="L286" s="6" t="s">
        <v>21</v>
      </c>
      <c r="M286" s="6" t="s">
        <v>45</v>
      </c>
      <c r="N286">
        <v>1040.8499999999999</v>
      </c>
    </row>
    <row r="287" spans="1:14" x14ac:dyDescent="0.35">
      <c r="A287" s="6" t="s">
        <v>1139</v>
      </c>
      <c r="B287" s="7">
        <v>45818</v>
      </c>
      <c r="C287" s="6" t="s">
        <v>1140</v>
      </c>
      <c r="D287" s="6" t="s">
        <v>25</v>
      </c>
      <c r="E287">
        <v>1</v>
      </c>
      <c r="F287">
        <v>338.31</v>
      </c>
      <c r="G287" s="6" t="s">
        <v>1093</v>
      </c>
      <c r="H287" s="6" t="s">
        <v>27</v>
      </c>
      <c r="I287" s="6" t="s">
        <v>50</v>
      </c>
      <c r="J287" s="6" t="s">
        <v>1141</v>
      </c>
      <c r="K287">
        <v>3</v>
      </c>
      <c r="L287" s="6" t="s">
        <v>4283</v>
      </c>
      <c r="M287" s="6" t="s">
        <v>76</v>
      </c>
      <c r="N287">
        <v>338.31</v>
      </c>
    </row>
    <row r="288" spans="1:14" x14ac:dyDescent="0.35">
      <c r="A288" s="6" t="s">
        <v>1142</v>
      </c>
      <c r="B288" s="7">
        <v>45754</v>
      </c>
      <c r="C288" s="6" t="s">
        <v>1143</v>
      </c>
      <c r="D288" s="6" t="s">
        <v>16</v>
      </c>
      <c r="E288">
        <v>3</v>
      </c>
      <c r="F288">
        <v>139.44999999999999</v>
      </c>
      <c r="G288" s="6" t="s">
        <v>510</v>
      </c>
      <c r="H288" s="6" t="s">
        <v>60</v>
      </c>
      <c r="I288" s="6" t="s">
        <v>43</v>
      </c>
      <c r="J288" s="6" t="s">
        <v>1144</v>
      </c>
      <c r="K288">
        <v>8</v>
      </c>
      <c r="L288" s="6" t="s">
        <v>81</v>
      </c>
      <c r="M288" s="6" t="s">
        <v>76</v>
      </c>
      <c r="N288">
        <v>418.35</v>
      </c>
    </row>
    <row r="289" spans="1:14" x14ac:dyDescent="0.35">
      <c r="A289" s="6" t="s">
        <v>1145</v>
      </c>
      <c r="B289" s="7">
        <v>45254</v>
      </c>
      <c r="C289" s="6" t="s">
        <v>1146</v>
      </c>
      <c r="D289" s="6" t="s">
        <v>41</v>
      </c>
      <c r="E289">
        <v>4</v>
      </c>
      <c r="F289">
        <v>655.17999999999995</v>
      </c>
      <c r="G289" s="6" t="s">
        <v>1147</v>
      </c>
      <c r="H289" s="6" t="s">
        <v>27</v>
      </c>
      <c r="I289" s="6" t="s">
        <v>19</v>
      </c>
      <c r="J289" s="6" t="s">
        <v>1148</v>
      </c>
      <c r="K289">
        <v>5</v>
      </c>
      <c r="L289" s="6" t="s">
        <v>4283</v>
      </c>
      <c r="M289" s="6" t="s">
        <v>45</v>
      </c>
      <c r="N289">
        <v>2620.7199999999998</v>
      </c>
    </row>
    <row r="290" spans="1:14" x14ac:dyDescent="0.35">
      <c r="A290" s="6" t="s">
        <v>1149</v>
      </c>
      <c r="B290" s="7">
        <v>44997</v>
      </c>
      <c r="C290" s="6" t="s">
        <v>1150</v>
      </c>
      <c r="D290" s="6" t="s">
        <v>58</v>
      </c>
      <c r="E290">
        <v>4</v>
      </c>
      <c r="F290">
        <v>512.75</v>
      </c>
      <c r="G290" s="6" t="s">
        <v>1151</v>
      </c>
      <c r="H290" s="6" t="s">
        <v>18</v>
      </c>
      <c r="I290" s="6" t="s">
        <v>43</v>
      </c>
      <c r="J290" s="6" t="s">
        <v>1152</v>
      </c>
      <c r="K290">
        <v>8</v>
      </c>
      <c r="L290" s="6" t="s">
        <v>81</v>
      </c>
      <c r="M290" s="6" t="s">
        <v>76</v>
      </c>
      <c r="N290">
        <v>2051</v>
      </c>
    </row>
    <row r="291" spans="1:14" x14ac:dyDescent="0.35">
      <c r="A291" s="6" t="s">
        <v>1153</v>
      </c>
      <c r="B291" s="7">
        <v>45133</v>
      </c>
      <c r="C291" s="6" t="s">
        <v>1154</v>
      </c>
      <c r="D291" s="6" t="s">
        <v>41</v>
      </c>
      <c r="E291">
        <v>4</v>
      </c>
      <c r="F291">
        <v>160.49</v>
      </c>
      <c r="G291" s="6" t="s">
        <v>79</v>
      </c>
      <c r="H291" s="6" t="s">
        <v>34</v>
      </c>
      <c r="I291" s="6" t="s">
        <v>19</v>
      </c>
      <c r="J291" s="6" t="s">
        <v>1155</v>
      </c>
      <c r="K291">
        <v>8</v>
      </c>
      <c r="L291" s="6" t="s">
        <v>81</v>
      </c>
      <c r="M291" s="6" t="s">
        <v>29</v>
      </c>
      <c r="N291">
        <v>641.96</v>
      </c>
    </row>
    <row r="292" spans="1:14" x14ac:dyDescent="0.35">
      <c r="A292" s="6" t="s">
        <v>1156</v>
      </c>
      <c r="B292" s="7">
        <v>45051</v>
      </c>
      <c r="C292" s="6" t="s">
        <v>1157</v>
      </c>
      <c r="D292" s="6" t="s">
        <v>41</v>
      </c>
      <c r="E292">
        <v>3</v>
      </c>
      <c r="F292">
        <v>99.9</v>
      </c>
      <c r="G292" s="6" t="s">
        <v>755</v>
      </c>
      <c r="H292" s="6" t="s">
        <v>65</v>
      </c>
      <c r="I292" s="6" t="s">
        <v>50</v>
      </c>
      <c r="J292" s="6" t="s">
        <v>1158</v>
      </c>
      <c r="K292">
        <v>8</v>
      </c>
      <c r="L292" s="6" t="s">
        <v>37</v>
      </c>
      <c r="M292" s="6" t="s">
        <v>45</v>
      </c>
      <c r="N292">
        <v>299.7</v>
      </c>
    </row>
    <row r="293" spans="1:14" x14ac:dyDescent="0.35">
      <c r="A293" s="6" t="s">
        <v>1159</v>
      </c>
      <c r="B293" s="7">
        <v>45424</v>
      </c>
      <c r="C293" s="6" t="s">
        <v>1160</v>
      </c>
      <c r="D293" s="6" t="s">
        <v>25</v>
      </c>
      <c r="E293">
        <v>2</v>
      </c>
      <c r="F293">
        <v>345.01</v>
      </c>
      <c r="G293" s="6" t="s">
        <v>1161</v>
      </c>
      <c r="H293" s="6" t="s">
        <v>34</v>
      </c>
      <c r="I293" s="6" t="s">
        <v>50</v>
      </c>
      <c r="J293" s="6" t="s">
        <v>1162</v>
      </c>
      <c r="K293">
        <v>6</v>
      </c>
      <c r="L293" s="6" t="s">
        <v>37</v>
      </c>
      <c r="M293" s="6" t="s">
        <v>76</v>
      </c>
      <c r="N293">
        <v>690.02</v>
      </c>
    </row>
    <row r="294" spans="1:14" x14ac:dyDescent="0.35">
      <c r="A294" s="6" t="s">
        <v>1163</v>
      </c>
      <c r="B294" s="7">
        <v>45672</v>
      </c>
      <c r="C294" s="6" t="s">
        <v>1164</v>
      </c>
      <c r="D294" s="6" t="s">
        <v>16</v>
      </c>
      <c r="E294">
        <v>1</v>
      </c>
      <c r="F294">
        <v>65.95</v>
      </c>
      <c r="G294" s="6" t="s">
        <v>858</v>
      </c>
      <c r="H294" s="6" t="s">
        <v>34</v>
      </c>
      <c r="I294" s="6" t="s">
        <v>50</v>
      </c>
      <c r="J294" s="6" t="s">
        <v>1165</v>
      </c>
      <c r="K294">
        <v>5</v>
      </c>
      <c r="L294" s="6" t="s">
        <v>4283</v>
      </c>
      <c r="M294" s="6" t="s">
        <v>45</v>
      </c>
      <c r="N294">
        <v>65.95</v>
      </c>
    </row>
    <row r="295" spans="1:14" x14ac:dyDescent="0.35">
      <c r="A295" s="6" t="s">
        <v>1166</v>
      </c>
      <c r="B295" s="7">
        <v>44973</v>
      </c>
      <c r="C295" s="6" t="s">
        <v>1167</v>
      </c>
      <c r="D295" s="6" t="s">
        <v>32</v>
      </c>
      <c r="E295">
        <v>4</v>
      </c>
      <c r="F295">
        <v>463.04</v>
      </c>
      <c r="G295" s="6" t="s">
        <v>1168</v>
      </c>
      <c r="H295" s="6" t="s">
        <v>60</v>
      </c>
      <c r="I295" s="6" t="s">
        <v>43</v>
      </c>
      <c r="J295" s="6" t="s">
        <v>1169</v>
      </c>
      <c r="K295">
        <v>9</v>
      </c>
      <c r="L295" s="6" t="s">
        <v>4283</v>
      </c>
      <c r="M295" s="6" t="s">
        <v>22</v>
      </c>
      <c r="N295">
        <v>1852.16</v>
      </c>
    </row>
    <row r="296" spans="1:14" x14ac:dyDescent="0.35">
      <c r="A296" s="6" t="s">
        <v>1170</v>
      </c>
      <c r="B296" s="7">
        <v>45748</v>
      </c>
      <c r="C296" s="6" t="s">
        <v>1171</v>
      </c>
      <c r="D296" s="6" t="s">
        <v>25</v>
      </c>
      <c r="E296">
        <v>2</v>
      </c>
      <c r="F296">
        <v>297.70999999999998</v>
      </c>
      <c r="G296" s="6" t="s">
        <v>1172</v>
      </c>
      <c r="H296" s="6" t="s">
        <v>27</v>
      </c>
      <c r="I296" s="6" t="s">
        <v>19</v>
      </c>
      <c r="J296" s="6" t="s">
        <v>1173</v>
      </c>
      <c r="K296">
        <v>7</v>
      </c>
      <c r="L296" s="6" t="s">
        <v>21</v>
      </c>
      <c r="M296" s="6" t="s">
        <v>29</v>
      </c>
      <c r="N296">
        <v>595.41999999999996</v>
      </c>
    </row>
    <row r="297" spans="1:14" x14ac:dyDescent="0.35">
      <c r="A297" s="6" t="s">
        <v>1174</v>
      </c>
      <c r="B297" s="7">
        <v>44951</v>
      </c>
      <c r="C297" s="6" t="s">
        <v>1175</v>
      </c>
      <c r="D297" s="6" t="s">
        <v>48</v>
      </c>
      <c r="E297">
        <v>5</v>
      </c>
      <c r="F297">
        <v>107.48</v>
      </c>
      <c r="G297" s="6" t="s">
        <v>1176</v>
      </c>
      <c r="H297" s="6" t="s">
        <v>18</v>
      </c>
      <c r="I297" s="6" t="s">
        <v>35</v>
      </c>
      <c r="J297" s="6" t="s">
        <v>1177</v>
      </c>
      <c r="K297">
        <v>9</v>
      </c>
      <c r="L297" s="6" t="s">
        <v>37</v>
      </c>
      <c r="M297" s="6" t="s">
        <v>38</v>
      </c>
      <c r="N297">
        <v>537.4</v>
      </c>
    </row>
    <row r="298" spans="1:14" x14ac:dyDescent="0.35">
      <c r="A298" s="6" t="s">
        <v>1178</v>
      </c>
      <c r="B298" s="7">
        <v>45462</v>
      </c>
      <c r="C298" s="6" t="s">
        <v>1179</v>
      </c>
      <c r="D298" s="6" t="s">
        <v>73</v>
      </c>
      <c r="E298">
        <v>5</v>
      </c>
      <c r="F298">
        <v>638.79999999999995</v>
      </c>
      <c r="G298" s="6" t="s">
        <v>242</v>
      </c>
      <c r="H298" s="6" t="s">
        <v>18</v>
      </c>
      <c r="I298" s="6" t="s">
        <v>35</v>
      </c>
      <c r="J298" s="6" t="s">
        <v>1180</v>
      </c>
      <c r="K298">
        <v>10</v>
      </c>
      <c r="L298" s="6" t="s">
        <v>81</v>
      </c>
      <c r="M298" s="6" t="s">
        <v>29</v>
      </c>
      <c r="N298">
        <v>3194</v>
      </c>
    </row>
    <row r="299" spans="1:14" x14ac:dyDescent="0.35">
      <c r="A299" s="6" t="s">
        <v>1181</v>
      </c>
      <c r="B299" s="7">
        <v>44979</v>
      </c>
      <c r="C299" s="6" t="s">
        <v>1182</v>
      </c>
      <c r="D299" s="6" t="s">
        <v>73</v>
      </c>
      <c r="E299">
        <v>2</v>
      </c>
      <c r="F299">
        <v>493.88</v>
      </c>
      <c r="G299" s="6" t="s">
        <v>1183</v>
      </c>
      <c r="H299" s="6" t="s">
        <v>34</v>
      </c>
      <c r="I299" s="6" t="s">
        <v>43</v>
      </c>
      <c r="J299" s="6" t="s">
        <v>1184</v>
      </c>
      <c r="K299">
        <v>7</v>
      </c>
      <c r="L299" s="6" t="s">
        <v>21</v>
      </c>
      <c r="M299" s="6" t="s">
        <v>22</v>
      </c>
      <c r="N299">
        <v>987.76</v>
      </c>
    </row>
    <row r="300" spans="1:14" x14ac:dyDescent="0.35">
      <c r="A300" s="6" t="s">
        <v>1185</v>
      </c>
      <c r="B300" s="7">
        <v>45279</v>
      </c>
      <c r="C300" s="6" t="s">
        <v>1186</v>
      </c>
      <c r="D300" s="6" t="s">
        <v>48</v>
      </c>
      <c r="E300">
        <v>4</v>
      </c>
      <c r="F300">
        <v>301.17</v>
      </c>
      <c r="G300" s="6" t="s">
        <v>201</v>
      </c>
      <c r="H300" s="6" t="s">
        <v>27</v>
      </c>
      <c r="I300" s="6" t="s">
        <v>35</v>
      </c>
      <c r="J300" s="6" t="s">
        <v>1187</v>
      </c>
      <c r="K300">
        <v>6</v>
      </c>
      <c r="L300" s="6" t="s">
        <v>4283</v>
      </c>
      <c r="M300" s="6" t="s">
        <v>38</v>
      </c>
      <c r="N300">
        <v>1204.68</v>
      </c>
    </row>
    <row r="301" spans="1:14" x14ac:dyDescent="0.35">
      <c r="A301" s="6" t="s">
        <v>1188</v>
      </c>
      <c r="B301" s="7">
        <v>45311</v>
      </c>
      <c r="C301" s="6" t="s">
        <v>1189</v>
      </c>
      <c r="D301" s="6" t="s">
        <v>16</v>
      </c>
      <c r="E301">
        <v>1</v>
      </c>
      <c r="F301">
        <v>278.66000000000003</v>
      </c>
      <c r="G301" s="6" t="s">
        <v>1190</v>
      </c>
      <c r="H301" s="6" t="s">
        <v>60</v>
      </c>
      <c r="I301" s="6" t="s">
        <v>35</v>
      </c>
      <c r="J301" s="6" t="s">
        <v>1191</v>
      </c>
      <c r="K301">
        <v>2</v>
      </c>
      <c r="L301" s="6" t="s">
        <v>37</v>
      </c>
      <c r="M301" s="6" t="s">
        <v>22</v>
      </c>
      <c r="N301">
        <v>278.66000000000003</v>
      </c>
    </row>
    <row r="302" spans="1:14" x14ac:dyDescent="0.35">
      <c r="A302" s="6" t="s">
        <v>1192</v>
      </c>
      <c r="B302" s="7">
        <v>45537</v>
      </c>
      <c r="C302" s="6" t="s">
        <v>1193</v>
      </c>
      <c r="D302" s="6" t="s">
        <v>25</v>
      </c>
      <c r="E302">
        <v>1</v>
      </c>
      <c r="F302">
        <v>287.45999999999998</v>
      </c>
      <c r="G302" s="6" t="s">
        <v>1194</v>
      </c>
      <c r="H302" s="6" t="s">
        <v>18</v>
      </c>
      <c r="I302" s="6" t="s">
        <v>43</v>
      </c>
      <c r="J302" s="6" t="s">
        <v>1195</v>
      </c>
      <c r="K302">
        <v>3</v>
      </c>
      <c r="L302" s="6" t="s">
        <v>37</v>
      </c>
      <c r="M302" s="6" t="s">
        <v>45</v>
      </c>
      <c r="N302">
        <v>287.45999999999998</v>
      </c>
    </row>
    <row r="303" spans="1:14" x14ac:dyDescent="0.35">
      <c r="A303" s="6" t="s">
        <v>1196</v>
      </c>
      <c r="B303" s="7">
        <v>45057</v>
      </c>
      <c r="C303" s="6" t="s">
        <v>1197</v>
      </c>
      <c r="D303" s="6" t="s">
        <v>41</v>
      </c>
      <c r="E303">
        <v>1</v>
      </c>
      <c r="F303">
        <v>583.99</v>
      </c>
      <c r="G303" s="6" t="s">
        <v>1198</v>
      </c>
      <c r="H303" s="6" t="s">
        <v>65</v>
      </c>
      <c r="I303" s="6" t="s">
        <v>35</v>
      </c>
      <c r="J303" s="6" t="s">
        <v>1199</v>
      </c>
      <c r="K303">
        <v>2</v>
      </c>
      <c r="L303" s="6" t="s">
        <v>21</v>
      </c>
      <c r="M303" s="6" t="s">
        <v>38</v>
      </c>
      <c r="N303">
        <v>583.99</v>
      </c>
    </row>
    <row r="304" spans="1:14" x14ac:dyDescent="0.35">
      <c r="A304" s="6" t="s">
        <v>1200</v>
      </c>
      <c r="B304" s="7">
        <v>45062</v>
      </c>
      <c r="C304" s="6" t="s">
        <v>1201</v>
      </c>
      <c r="D304" s="6" t="s">
        <v>41</v>
      </c>
      <c r="E304">
        <v>3</v>
      </c>
      <c r="F304">
        <v>468.74</v>
      </c>
      <c r="G304" s="6" t="s">
        <v>1202</v>
      </c>
      <c r="H304" s="6" t="s">
        <v>65</v>
      </c>
      <c r="I304" s="6" t="s">
        <v>89</v>
      </c>
      <c r="J304" s="6" t="s">
        <v>1203</v>
      </c>
      <c r="K304">
        <v>4</v>
      </c>
      <c r="L304" s="6" t="s">
        <v>37</v>
      </c>
      <c r="M304" s="6" t="s">
        <v>22</v>
      </c>
      <c r="N304">
        <v>1406.22</v>
      </c>
    </row>
    <row r="305" spans="1:14" x14ac:dyDescent="0.35">
      <c r="A305" s="6" t="s">
        <v>1204</v>
      </c>
      <c r="B305" s="7">
        <v>45633</v>
      </c>
      <c r="C305" s="6" t="s">
        <v>1205</v>
      </c>
      <c r="D305" s="6" t="s">
        <v>32</v>
      </c>
      <c r="E305">
        <v>1</v>
      </c>
      <c r="F305">
        <v>30.54</v>
      </c>
      <c r="G305" s="6" t="s">
        <v>1206</v>
      </c>
      <c r="H305" s="6" t="s">
        <v>18</v>
      </c>
      <c r="I305" s="6" t="s">
        <v>43</v>
      </c>
      <c r="J305" s="6" t="s">
        <v>1207</v>
      </c>
      <c r="K305">
        <v>1</v>
      </c>
      <c r="L305" s="6" t="s">
        <v>4283</v>
      </c>
      <c r="M305" s="6" t="s">
        <v>76</v>
      </c>
      <c r="N305">
        <v>30.54</v>
      </c>
    </row>
    <row r="306" spans="1:14" x14ac:dyDescent="0.35">
      <c r="A306" s="6" t="s">
        <v>1208</v>
      </c>
      <c r="B306" s="7">
        <v>45583</v>
      </c>
      <c r="C306" s="6" t="s">
        <v>1209</v>
      </c>
      <c r="D306" s="6" t="s">
        <v>16</v>
      </c>
      <c r="E306">
        <v>5</v>
      </c>
      <c r="F306">
        <v>408.73</v>
      </c>
      <c r="G306" s="6" t="s">
        <v>1210</v>
      </c>
      <c r="H306" s="6" t="s">
        <v>60</v>
      </c>
      <c r="I306" s="6" t="s">
        <v>50</v>
      </c>
      <c r="J306" s="6" t="s">
        <v>1211</v>
      </c>
      <c r="K306">
        <v>10</v>
      </c>
      <c r="L306" s="6" t="s">
        <v>37</v>
      </c>
      <c r="M306" s="6" t="s">
        <v>22</v>
      </c>
      <c r="N306">
        <v>2043.65</v>
      </c>
    </row>
    <row r="307" spans="1:14" x14ac:dyDescent="0.35">
      <c r="A307" s="6" t="s">
        <v>1212</v>
      </c>
      <c r="B307" s="7">
        <v>45255</v>
      </c>
      <c r="C307" s="6" t="s">
        <v>1213</v>
      </c>
      <c r="D307" s="6" t="s">
        <v>58</v>
      </c>
      <c r="E307">
        <v>4</v>
      </c>
      <c r="F307">
        <v>126.89</v>
      </c>
      <c r="G307" s="6" t="s">
        <v>1214</v>
      </c>
      <c r="H307" s="6" t="s">
        <v>65</v>
      </c>
      <c r="I307" s="6" t="s">
        <v>89</v>
      </c>
      <c r="J307" s="6" t="s">
        <v>1215</v>
      </c>
      <c r="K307">
        <v>9</v>
      </c>
      <c r="L307" s="6" t="s">
        <v>37</v>
      </c>
      <c r="M307" s="6" t="s">
        <v>22</v>
      </c>
      <c r="N307">
        <v>507.56</v>
      </c>
    </row>
    <row r="308" spans="1:14" x14ac:dyDescent="0.35">
      <c r="A308" s="6" t="s">
        <v>1216</v>
      </c>
      <c r="B308" s="7">
        <v>45450</v>
      </c>
      <c r="C308" s="6" t="s">
        <v>1217</v>
      </c>
      <c r="D308" s="6" t="s">
        <v>48</v>
      </c>
      <c r="E308">
        <v>2</v>
      </c>
      <c r="F308">
        <v>57.07</v>
      </c>
      <c r="G308" s="6" t="s">
        <v>1218</v>
      </c>
      <c r="H308" s="6" t="s">
        <v>18</v>
      </c>
      <c r="I308" s="6" t="s">
        <v>43</v>
      </c>
      <c r="J308" s="6" t="s">
        <v>1219</v>
      </c>
      <c r="K308">
        <v>3</v>
      </c>
      <c r="L308" s="6" t="s">
        <v>21</v>
      </c>
      <c r="M308" s="6" t="s">
        <v>22</v>
      </c>
      <c r="N308">
        <v>114.14</v>
      </c>
    </row>
    <row r="309" spans="1:14" x14ac:dyDescent="0.35">
      <c r="A309" s="6" t="s">
        <v>1220</v>
      </c>
      <c r="B309" s="7">
        <v>45108</v>
      </c>
      <c r="C309" s="6" t="s">
        <v>1221</v>
      </c>
      <c r="D309" s="6" t="s">
        <v>58</v>
      </c>
      <c r="E309">
        <v>3</v>
      </c>
      <c r="F309">
        <v>557.41</v>
      </c>
      <c r="G309" s="6" t="s">
        <v>1222</v>
      </c>
      <c r="H309" s="6" t="s">
        <v>27</v>
      </c>
      <c r="I309" s="6" t="s">
        <v>50</v>
      </c>
      <c r="J309" s="6" t="s">
        <v>1223</v>
      </c>
      <c r="K309">
        <v>4</v>
      </c>
      <c r="L309" s="6" t="s">
        <v>4283</v>
      </c>
      <c r="M309" s="6" t="s">
        <v>38</v>
      </c>
      <c r="N309">
        <v>1672.23</v>
      </c>
    </row>
    <row r="310" spans="1:14" x14ac:dyDescent="0.35">
      <c r="A310" s="6" t="s">
        <v>1224</v>
      </c>
      <c r="B310" s="7">
        <v>45271</v>
      </c>
      <c r="C310" s="6" t="s">
        <v>1225</v>
      </c>
      <c r="D310" s="6" t="s">
        <v>48</v>
      </c>
      <c r="E310">
        <v>3</v>
      </c>
      <c r="F310">
        <v>448.9</v>
      </c>
      <c r="G310" s="6" t="s">
        <v>719</v>
      </c>
      <c r="H310" s="6" t="s">
        <v>18</v>
      </c>
      <c r="I310" s="6" t="s">
        <v>43</v>
      </c>
      <c r="J310" s="6" t="s">
        <v>1226</v>
      </c>
      <c r="K310">
        <v>7</v>
      </c>
      <c r="L310" s="6" t="s">
        <v>21</v>
      </c>
      <c r="M310" s="6" t="s">
        <v>22</v>
      </c>
      <c r="N310">
        <v>1346.7</v>
      </c>
    </row>
    <row r="311" spans="1:14" x14ac:dyDescent="0.35">
      <c r="A311" s="6" t="s">
        <v>1227</v>
      </c>
      <c r="B311" s="7">
        <v>45202</v>
      </c>
      <c r="C311" s="6" t="s">
        <v>1228</v>
      </c>
      <c r="D311" s="6" t="s">
        <v>41</v>
      </c>
      <c r="E311">
        <v>4</v>
      </c>
      <c r="F311">
        <v>549.76</v>
      </c>
      <c r="G311" s="6" t="s">
        <v>1229</v>
      </c>
      <c r="H311" s="6" t="s">
        <v>18</v>
      </c>
      <c r="I311" s="6" t="s">
        <v>50</v>
      </c>
      <c r="J311" s="6" t="s">
        <v>1230</v>
      </c>
      <c r="K311">
        <v>4</v>
      </c>
      <c r="L311" s="6" t="s">
        <v>37</v>
      </c>
      <c r="M311" s="6" t="s">
        <v>45</v>
      </c>
      <c r="N311">
        <v>2199.04</v>
      </c>
    </row>
    <row r="312" spans="1:14" x14ac:dyDescent="0.35">
      <c r="A312" s="6" t="s">
        <v>1231</v>
      </c>
      <c r="B312" s="7">
        <v>45346</v>
      </c>
      <c r="C312" s="6" t="s">
        <v>1232</v>
      </c>
      <c r="D312" s="6" t="s">
        <v>48</v>
      </c>
      <c r="E312">
        <v>3</v>
      </c>
      <c r="F312">
        <v>132.47999999999999</v>
      </c>
      <c r="G312" s="6" t="s">
        <v>1233</v>
      </c>
      <c r="H312" s="6" t="s">
        <v>27</v>
      </c>
      <c r="I312" s="6" t="s">
        <v>19</v>
      </c>
      <c r="J312" s="6" t="s">
        <v>1234</v>
      </c>
      <c r="K312">
        <v>4</v>
      </c>
      <c r="L312" s="6" t="s">
        <v>4283</v>
      </c>
      <c r="M312" s="6" t="s">
        <v>29</v>
      </c>
      <c r="N312">
        <v>397.44</v>
      </c>
    </row>
    <row r="313" spans="1:14" x14ac:dyDescent="0.35">
      <c r="A313" s="6" t="s">
        <v>1235</v>
      </c>
      <c r="B313" s="7">
        <v>45794</v>
      </c>
      <c r="C313" s="6" t="s">
        <v>1236</v>
      </c>
      <c r="D313" s="6" t="s">
        <v>73</v>
      </c>
      <c r="E313">
        <v>5</v>
      </c>
      <c r="F313">
        <v>489.37</v>
      </c>
      <c r="G313" s="6" t="s">
        <v>1237</v>
      </c>
      <c r="H313" s="6" t="s">
        <v>27</v>
      </c>
      <c r="I313" s="6" t="s">
        <v>43</v>
      </c>
      <c r="J313" s="6" t="s">
        <v>1238</v>
      </c>
      <c r="K313">
        <v>8</v>
      </c>
      <c r="L313" s="6" t="s">
        <v>4283</v>
      </c>
      <c r="M313" s="6" t="s">
        <v>22</v>
      </c>
      <c r="N313">
        <v>2446.85</v>
      </c>
    </row>
    <row r="314" spans="1:14" x14ac:dyDescent="0.35">
      <c r="A314" s="6" t="s">
        <v>1239</v>
      </c>
      <c r="B314" s="7">
        <v>45801</v>
      </c>
      <c r="C314" s="6" t="s">
        <v>1240</v>
      </c>
      <c r="D314" s="6" t="s">
        <v>48</v>
      </c>
      <c r="E314">
        <v>5</v>
      </c>
      <c r="F314">
        <v>66.31</v>
      </c>
      <c r="G314" s="6" t="s">
        <v>921</v>
      </c>
      <c r="H314" s="6" t="s">
        <v>60</v>
      </c>
      <c r="I314" s="6" t="s">
        <v>89</v>
      </c>
      <c r="J314" s="6" t="s">
        <v>1241</v>
      </c>
      <c r="K314">
        <v>7</v>
      </c>
      <c r="L314" s="6" t="s">
        <v>37</v>
      </c>
      <c r="M314" s="6" t="s">
        <v>29</v>
      </c>
      <c r="N314">
        <v>331.55</v>
      </c>
    </row>
    <row r="315" spans="1:14" x14ac:dyDescent="0.35">
      <c r="A315" s="6" t="s">
        <v>1242</v>
      </c>
      <c r="B315" s="7">
        <v>45116</v>
      </c>
      <c r="C315" s="6" t="s">
        <v>1243</v>
      </c>
      <c r="D315" s="6" t="s">
        <v>41</v>
      </c>
      <c r="E315">
        <v>2</v>
      </c>
      <c r="F315">
        <v>434.3</v>
      </c>
      <c r="G315" s="6" t="s">
        <v>1244</v>
      </c>
      <c r="H315" s="6" t="s">
        <v>65</v>
      </c>
      <c r="I315" s="6" t="s">
        <v>50</v>
      </c>
      <c r="J315" s="6" t="s">
        <v>1245</v>
      </c>
      <c r="K315">
        <v>7</v>
      </c>
      <c r="L315" s="6" t="s">
        <v>21</v>
      </c>
      <c r="M315" s="6" t="s">
        <v>22</v>
      </c>
      <c r="N315">
        <v>868.6</v>
      </c>
    </row>
    <row r="316" spans="1:14" x14ac:dyDescent="0.35">
      <c r="A316" s="6" t="s">
        <v>1246</v>
      </c>
      <c r="B316" s="7">
        <v>45203</v>
      </c>
      <c r="C316" s="6" t="s">
        <v>1247</v>
      </c>
      <c r="D316" s="6" t="s">
        <v>73</v>
      </c>
      <c r="E316">
        <v>4</v>
      </c>
      <c r="F316">
        <v>153.09</v>
      </c>
      <c r="G316" s="6" t="s">
        <v>1248</v>
      </c>
      <c r="H316" s="6" t="s">
        <v>27</v>
      </c>
      <c r="I316" s="6" t="s">
        <v>50</v>
      </c>
      <c r="J316" s="6" t="s">
        <v>1249</v>
      </c>
      <c r="K316">
        <v>4</v>
      </c>
      <c r="L316" s="6" t="s">
        <v>37</v>
      </c>
      <c r="M316" s="6" t="s">
        <v>29</v>
      </c>
      <c r="N316">
        <v>612.36</v>
      </c>
    </row>
    <row r="317" spans="1:14" x14ac:dyDescent="0.35">
      <c r="A317" s="6" t="s">
        <v>1250</v>
      </c>
      <c r="B317" s="7">
        <v>45789</v>
      </c>
      <c r="C317" s="6" t="s">
        <v>1251</v>
      </c>
      <c r="D317" s="6" t="s">
        <v>32</v>
      </c>
      <c r="E317">
        <v>5</v>
      </c>
      <c r="F317">
        <v>91.67</v>
      </c>
      <c r="G317" s="6" t="s">
        <v>1252</v>
      </c>
      <c r="H317" s="6" t="s">
        <v>27</v>
      </c>
      <c r="I317" s="6" t="s">
        <v>35</v>
      </c>
      <c r="J317" s="6" t="s">
        <v>1253</v>
      </c>
      <c r="K317">
        <v>9</v>
      </c>
      <c r="L317" s="6" t="s">
        <v>37</v>
      </c>
      <c r="M317" s="6" t="s">
        <v>38</v>
      </c>
      <c r="N317">
        <v>458.35</v>
      </c>
    </row>
    <row r="318" spans="1:14" x14ac:dyDescent="0.35">
      <c r="A318" s="6" t="s">
        <v>1254</v>
      </c>
      <c r="B318" s="7">
        <v>45201</v>
      </c>
      <c r="C318" s="6" t="s">
        <v>1255</v>
      </c>
      <c r="D318" s="6" t="s">
        <v>73</v>
      </c>
      <c r="E318">
        <v>4</v>
      </c>
      <c r="F318">
        <v>275.27999999999997</v>
      </c>
      <c r="G318" s="6" t="s">
        <v>1256</v>
      </c>
      <c r="H318" s="6" t="s">
        <v>60</v>
      </c>
      <c r="I318" s="6" t="s">
        <v>19</v>
      </c>
      <c r="J318" s="6" t="s">
        <v>1257</v>
      </c>
      <c r="K318">
        <v>9</v>
      </c>
      <c r="L318" s="6" t="s">
        <v>81</v>
      </c>
      <c r="M318" s="6" t="s">
        <v>45</v>
      </c>
      <c r="N318">
        <v>1101.1199999999999</v>
      </c>
    </row>
    <row r="319" spans="1:14" x14ac:dyDescent="0.35">
      <c r="A319" s="6" t="s">
        <v>1258</v>
      </c>
      <c r="B319" s="7">
        <v>45026</v>
      </c>
      <c r="C319" s="6" t="s">
        <v>1259</v>
      </c>
      <c r="D319" s="6" t="s">
        <v>16</v>
      </c>
      <c r="E319">
        <v>2</v>
      </c>
      <c r="F319">
        <v>139.94999999999999</v>
      </c>
      <c r="G319" s="6" t="s">
        <v>1260</v>
      </c>
      <c r="H319" s="6" t="s">
        <v>27</v>
      </c>
      <c r="I319" s="6" t="s">
        <v>43</v>
      </c>
      <c r="J319" s="6" t="s">
        <v>1261</v>
      </c>
      <c r="K319">
        <v>5</v>
      </c>
      <c r="L319" s="6" t="s">
        <v>4283</v>
      </c>
      <c r="M319" s="6" t="s">
        <v>22</v>
      </c>
      <c r="N319">
        <v>279.89999999999998</v>
      </c>
    </row>
    <row r="320" spans="1:14" x14ac:dyDescent="0.35">
      <c r="A320" s="6" t="s">
        <v>1262</v>
      </c>
      <c r="B320" s="7">
        <v>45500</v>
      </c>
      <c r="C320" s="6" t="s">
        <v>1263</v>
      </c>
      <c r="D320" s="6" t="s">
        <v>41</v>
      </c>
      <c r="E320">
        <v>3</v>
      </c>
      <c r="F320">
        <v>148.72</v>
      </c>
      <c r="G320" s="6" t="s">
        <v>866</v>
      </c>
      <c r="H320" s="6" t="s">
        <v>18</v>
      </c>
      <c r="I320" s="6" t="s">
        <v>35</v>
      </c>
      <c r="J320" s="6" t="s">
        <v>1264</v>
      </c>
      <c r="K320">
        <v>7</v>
      </c>
      <c r="L320" s="6" t="s">
        <v>21</v>
      </c>
      <c r="M320" s="6" t="s">
        <v>76</v>
      </c>
      <c r="N320">
        <v>446.16</v>
      </c>
    </row>
    <row r="321" spans="1:14" x14ac:dyDescent="0.35">
      <c r="A321" s="6" t="s">
        <v>1265</v>
      </c>
      <c r="B321" s="7">
        <v>45262</v>
      </c>
      <c r="C321" s="6" t="s">
        <v>1266</v>
      </c>
      <c r="D321" s="6" t="s">
        <v>58</v>
      </c>
      <c r="E321">
        <v>2</v>
      </c>
      <c r="F321">
        <v>563.05999999999995</v>
      </c>
      <c r="G321" s="6" t="s">
        <v>1267</v>
      </c>
      <c r="H321" s="6" t="s">
        <v>65</v>
      </c>
      <c r="I321" s="6" t="s">
        <v>43</v>
      </c>
      <c r="J321" s="6" t="s">
        <v>1268</v>
      </c>
      <c r="K321">
        <v>6</v>
      </c>
      <c r="L321" s="6" t="s">
        <v>4283</v>
      </c>
      <c r="M321" s="6" t="s">
        <v>22</v>
      </c>
      <c r="N321">
        <v>1126.1199999999999</v>
      </c>
    </row>
    <row r="322" spans="1:14" x14ac:dyDescent="0.35">
      <c r="A322" s="6" t="s">
        <v>1269</v>
      </c>
      <c r="B322" s="7">
        <v>45645</v>
      </c>
      <c r="C322" s="6" t="s">
        <v>1270</v>
      </c>
      <c r="D322" s="6" t="s">
        <v>48</v>
      </c>
      <c r="E322">
        <v>1</v>
      </c>
      <c r="F322">
        <v>625.51</v>
      </c>
      <c r="G322" s="6" t="s">
        <v>1271</v>
      </c>
      <c r="H322" s="6" t="s">
        <v>34</v>
      </c>
      <c r="I322" s="6" t="s">
        <v>19</v>
      </c>
      <c r="J322" s="6" t="s">
        <v>1272</v>
      </c>
      <c r="K322">
        <v>1</v>
      </c>
      <c r="L322" s="6" t="s">
        <v>37</v>
      </c>
      <c r="M322" s="6" t="s">
        <v>45</v>
      </c>
      <c r="N322">
        <v>625.51</v>
      </c>
    </row>
    <row r="323" spans="1:14" x14ac:dyDescent="0.35">
      <c r="A323" s="6" t="s">
        <v>1273</v>
      </c>
      <c r="B323" s="7">
        <v>45147</v>
      </c>
      <c r="C323" s="6" t="s">
        <v>1274</v>
      </c>
      <c r="D323" s="6" t="s">
        <v>25</v>
      </c>
      <c r="E323">
        <v>4</v>
      </c>
      <c r="F323">
        <v>152.29</v>
      </c>
      <c r="G323" s="6" t="s">
        <v>1222</v>
      </c>
      <c r="H323" s="6" t="s">
        <v>18</v>
      </c>
      <c r="I323" s="6" t="s">
        <v>35</v>
      </c>
      <c r="J323" s="6" t="s">
        <v>1275</v>
      </c>
      <c r="K323">
        <v>6</v>
      </c>
      <c r="L323" s="6" t="s">
        <v>81</v>
      </c>
      <c r="M323" s="6" t="s">
        <v>76</v>
      </c>
      <c r="N323">
        <v>609.16</v>
      </c>
    </row>
    <row r="324" spans="1:14" x14ac:dyDescent="0.35">
      <c r="A324" s="6" t="s">
        <v>1276</v>
      </c>
      <c r="B324" s="7">
        <v>45457</v>
      </c>
      <c r="C324" s="6" t="s">
        <v>1277</v>
      </c>
      <c r="D324" s="6" t="s">
        <v>25</v>
      </c>
      <c r="E324">
        <v>5</v>
      </c>
      <c r="F324">
        <v>231.82</v>
      </c>
      <c r="G324" s="6" t="s">
        <v>1260</v>
      </c>
      <c r="H324" s="6" t="s">
        <v>18</v>
      </c>
      <c r="I324" s="6" t="s">
        <v>50</v>
      </c>
      <c r="J324" s="6" t="s">
        <v>1278</v>
      </c>
      <c r="K324">
        <v>6</v>
      </c>
      <c r="L324" s="6" t="s">
        <v>21</v>
      </c>
      <c r="M324" s="6" t="s">
        <v>45</v>
      </c>
      <c r="N324">
        <v>1159.0999999999999</v>
      </c>
    </row>
    <row r="325" spans="1:14" x14ac:dyDescent="0.35">
      <c r="A325" s="6" t="s">
        <v>1279</v>
      </c>
      <c r="B325" s="7">
        <v>45683</v>
      </c>
      <c r="C325" s="6" t="s">
        <v>1280</v>
      </c>
      <c r="D325" s="6" t="s">
        <v>58</v>
      </c>
      <c r="E325">
        <v>1</v>
      </c>
      <c r="F325">
        <v>150.16999999999999</v>
      </c>
      <c r="G325" s="6" t="s">
        <v>1281</v>
      </c>
      <c r="H325" s="6" t="s">
        <v>18</v>
      </c>
      <c r="I325" s="6" t="s">
        <v>43</v>
      </c>
      <c r="J325" s="6" t="s">
        <v>1282</v>
      </c>
      <c r="K325">
        <v>1</v>
      </c>
      <c r="L325" s="6" t="s">
        <v>21</v>
      </c>
      <c r="M325" s="6" t="s">
        <v>29</v>
      </c>
      <c r="N325">
        <v>150.16999999999999</v>
      </c>
    </row>
    <row r="326" spans="1:14" x14ac:dyDescent="0.35">
      <c r="A326" s="6" t="s">
        <v>1283</v>
      </c>
      <c r="B326" s="7">
        <v>45456</v>
      </c>
      <c r="C326" s="6" t="s">
        <v>1284</v>
      </c>
      <c r="D326" s="6" t="s">
        <v>32</v>
      </c>
      <c r="E326">
        <v>3</v>
      </c>
      <c r="F326">
        <v>70.930000000000007</v>
      </c>
      <c r="G326" s="6" t="s">
        <v>1285</v>
      </c>
      <c r="H326" s="6" t="s">
        <v>18</v>
      </c>
      <c r="I326" s="6" t="s">
        <v>43</v>
      </c>
      <c r="J326" s="6" t="s">
        <v>1286</v>
      </c>
      <c r="K326">
        <v>5</v>
      </c>
      <c r="L326" s="6" t="s">
        <v>4283</v>
      </c>
      <c r="M326" s="6" t="s">
        <v>29</v>
      </c>
      <c r="N326">
        <v>212.79</v>
      </c>
    </row>
    <row r="327" spans="1:14" x14ac:dyDescent="0.35">
      <c r="A327" s="6" t="s">
        <v>1287</v>
      </c>
      <c r="B327" s="7">
        <v>45106</v>
      </c>
      <c r="C327" s="6" t="s">
        <v>1288</v>
      </c>
      <c r="D327" s="6" t="s">
        <v>73</v>
      </c>
      <c r="E327">
        <v>3</v>
      </c>
      <c r="F327">
        <v>361.39</v>
      </c>
      <c r="G327" s="6" t="s">
        <v>1289</v>
      </c>
      <c r="H327" s="6" t="s">
        <v>34</v>
      </c>
      <c r="I327" s="6" t="s">
        <v>19</v>
      </c>
      <c r="J327" s="6" t="s">
        <v>1290</v>
      </c>
      <c r="K327">
        <v>8</v>
      </c>
      <c r="L327" s="6" t="s">
        <v>4283</v>
      </c>
      <c r="M327" s="6" t="s">
        <v>29</v>
      </c>
      <c r="N327">
        <v>1084.17</v>
      </c>
    </row>
    <row r="328" spans="1:14" x14ac:dyDescent="0.35">
      <c r="A328" s="6" t="s">
        <v>1291</v>
      </c>
      <c r="B328" s="7">
        <v>45474</v>
      </c>
      <c r="C328" s="6" t="s">
        <v>1292</v>
      </c>
      <c r="D328" s="6" t="s">
        <v>58</v>
      </c>
      <c r="E328">
        <v>5</v>
      </c>
      <c r="F328">
        <v>670.48</v>
      </c>
      <c r="G328" s="6" t="s">
        <v>117</v>
      </c>
      <c r="H328" s="6" t="s">
        <v>60</v>
      </c>
      <c r="I328" s="6" t="s">
        <v>43</v>
      </c>
      <c r="J328" s="6" t="s">
        <v>1293</v>
      </c>
      <c r="K328">
        <v>5</v>
      </c>
      <c r="L328" s="6" t="s">
        <v>21</v>
      </c>
      <c r="M328" s="6" t="s">
        <v>45</v>
      </c>
      <c r="N328">
        <v>3352.4</v>
      </c>
    </row>
    <row r="329" spans="1:14" x14ac:dyDescent="0.35">
      <c r="A329" s="6" t="s">
        <v>1294</v>
      </c>
      <c r="B329" s="7">
        <v>45132</v>
      </c>
      <c r="C329" s="6" t="s">
        <v>1295</v>
      </c>
      <c r="D329" s="6" t="s">
        <v>25</v>
      </c>
      <c r="E329">
        <v>1</v>
      </c>
      <c r="F329">
        <v>359.99</v>
      </c>
      <c r="G329" s="6" t="s">
        <v>297</v>
      </c>
      <c r="H329" s="6" t="s">
        <v>60</v>
      </c>
      <c r="I329" s="6" t="s">
        <v>35</v>
      </c>
      <c r="J329" s="6" t="s">
        <v>1296</v>
      </c>
      <c r="K329">
        <v>5</v>
      </c>
      <c r="L329" s="6" t="s">
        <v>21</v>
      </c>
      <c r="M329" s="6" t="s">
        <v>38</v>
      </c>
      <c r="N329">
        <v>359.99</v>
      </c>
    </row>
    <row r="330" spans="1:14" x14ac:dyDescent="0.35">
      <c r="A330" s="6" t="s">
        <v>1297</v>
      </c>
      <c r="B330" s="7">
        <v>44985</v>
      </c>
      <c r="C330" s="6" t="s">
        <v>1298</v>
      </c>
      <c r="D330" s="6" t="s">
        <v>32</v>
      </c>
      <c r="E330">
        <v>5</v>
      </c>
      <c r="F330">
        <v>674.04</v>
      </c>
      <c r="G330" s="6" t="s">
        <v>1299</v>
      </c>
      <c r="H330" s="6" t="s">
        <v>27</v>
      </c>
      <c r="I330" s="6" t="s">
        <v>35</v>
      </c>
      <c r="J330" s="6" t="s">
        <v>1300</v>
      </c>
      <c r="K330">
        <v>7</v>
      </c>
      <c r="L330" s="6" t="s">
        <v>21</v>
      </c>
      <c r="M330" s="6" t="s">
        <v>76</v>
      </c>
      <c r="N330">
        <v>3370.2</v>
      </c>
    </row>
    <row r="331" spans="1:14" x14ac:dyDescent="0.35">
      <c r="A331" s="6" t="s">
        <v>1301</v>
      </c>
      <c r="B331" s="7">
        <v>45651</v>
      </c>
      <c r="C331" s="6" t="s">
        <v>1302</v>
      </c>
      <c r="D331" s="6" t="s">
        <v>41</v>
      </c>
      <c r="E331">
        <v>4</v>
      </c>
      <c r="F331">
        <v>283.16000000000003</v>
      </c>
      <c r="G331" s="6" t="s">
        <v>988</v>
      </c>
      <c r="H331" s="6" t="s">
        <v>34</v>
      </c>
      <c r="I331" s="6" t="s">
        <v>19</v>
      </c>
      <c r="J331" s="6" t="s">
        <v>1303</v>
      </c>
      <c r="K331">
        <v>6</v>
      </c>
      <c r="L331" s="6" t="s">
        <v>4283</v>
      </c>
      <c r="M331" s="6" t="s">
        <v>76</v>
      </c>
      <c r="N331">
        <v>1132.6400000000001</v>
      </c>
    </row>
    <row r="332" spans="1:14" x14ac:dyDescent="0.35">
      <c r="A332" s="6" t="s">
        <v>1304</v>
      </c>
      <c r="B332" s="7">
        <v>45445</v>
      </c>
      <c r="C332" s="6" t="s">
        <v>1305</v>
      </c>
      <c r="D332" s="6" t="s">
        <v>73</v>
      </c>
      <c r="E332">
        <v>5</v>
      </c>
      <c r="F332">
        <v>260.52999999999997</v>
      </c>
      <c r="G332" s="6" t="s">
        <v>1306</v>
      </c>
      <c r="H332" s="6" t="s">
        <v>60</v>
      </c>
      <c r="I332" s="6" t="s">
        <v>89</v>
      </c>
      <c r="J332" s="6" t="s">
        <v>1307</v>
      </c>
      <c r="K332">
        <v>5</v>
      </c>
      <c r="L332" s="6" t="s">
        <v>21</v>
      </c>
      <c r="M332" s="6" t="s">
        <v>22</v>
      </c>
      <c r="N332">
        <v>1302.6500000000001</v>
      </c>
    </row>
    <row r="333" spans="1:14" x14ac:dyDescent="0.35">
      <c r="A333" s="6" t="s">
        <v>1308</v>
      </c>
      <c r="B333" s="7">
        <v>45031</v>
      </c>
      <c r="C333" s="6" t="s">
        <v>1309</v>
      </c>
      <c r="D333" s="6" t="s">
        <v>48</v>
      </c>
      <c r="E333">
        <v>3</v>
      </c>
      <c r="F333">
        <v>422.13</v>
      </c>
      <c r="G333" s="6" t="s">
        <v>510</v>
      </c>
      <c r="H333" s="6" t="s">
        <v>27</v>
      </c>
      <c r="I333" s="6" t="s">
        <v>50</v>
      </c>
      <c r="J333" s="6" t="s">
        <v>1310</v>
      </c>
      <c r="K333">
        <v>7</v>
      </c>
      <c r="L333" s="6" t="s">
        <v>21</v>
      </c>
      <c r="M333" s="6" t="s">
        <v>45</v>
      </c>
      <c r="N333">
        <v>1266.3900000000001</v>
      </c>
    </row>
    <row r="334" spans="1:14" x14ac:dyDescent="0.35">
      <c r="A334" s="6" t="s">
        <v>1311</v>
      </c>
      <c r="B334" s="7">
        <v>45476</v>
      </c>
      <c r="C334" s="6" t="s">
        <v>1312</v>
      </c>
      <c r="D334" s="6" t="s">
        <v>73</v>
      </c>
      <c r="E334">
        <v>5</v>
      </c>
      <c r="F334">
        <v>125.02</v>
      </c>
      <c r="G334" s="6" t="s">
        <v>1313</v>
      </c>
      <c r="H334" s="6" t="s">
        <v>18</v>
      </c>
      <c r="I334" s="6" t="s">
        <v>89</v>
      </c>
      <c r="J334" s="6" t="s">
        <v>1314</v>
      </c>
      <c r="K334">
        <v>9</v>
      </c>
      <c r="L334" s="6" t="s">
        <v>21</v>
      </c>
      <c r="M334" s="6" t="s">
        <v>76</v>
      </c>
      <c r="N334">
        <v>625.1</v>
      </c>
    </row>
    <row r="335" spans="1:14" x14ac:dyDescent="0.35">
      <c r="A335" s="6" t="s">
        <v>1315</v>
      </c>
      <c r="B335" s="7">
        <v>45398</v>
      </c>
      <c r="C335" s="6" t="s">
        <v>1316</v>
      </c>
      <c r="D335" s="6" t="s">
        <v>25</v>
      </c>
      <c r="E335">
        <v>1</v>
      </c>
      <c r="F335">
        <v>198.51</v>
      </c>
      <c r="G335" s="6" t="s">
        <v>1317</v>
      </c>
      <c r="H335" s="6" t="s">
        <v>34</v>
      </c>
      <c r="I335" s="6" t="s">
        <v>43</v>
      </c>
      <c r="J335" s="6" t="s">
        <v>1318</v>
      </c>
      <c r="K335">
        <v>5</v>
      </c>
      <c r="L335" s="6" t="s">
        <v>81</v>
      </c>
      <c r="M335" s="6" t="s">
        <v>22</v>
      </c>
      <c r="N335">
        <v>198.51</v>
      </c>
    </row>
    <row r="336" spans="1:14" x14ac:dyDescent="0.35">
      <c r="A336" s="6" t="s">
        <v>1319</v>
      </c>
      <c r="B336" s="7">
        <v>45377</v>
      </c>
      <c r="C336" s="6" t="s">
        <v>1320</v>
      </c>
      <c r="D336" s="6" t="s">
        <v>41</v>
      </c>
      <c r="E336">
        <v>4</v>
      </c>
      <c r="F336">
        <v>224.75</v>
      </c>
      <c r="G336" s="6" t="s">
        <v>1321</v>
      </c>
      <c r="H336" s="6" t="s">
        <v>27</v>
      </c>
      <c r="I336" s="6" t="s">
        <v>50</v>
      </c>
      <c r="J336" s="6" t="s">
        <v>1322</v>
      </c>
      <c r="K336">
        <v>7</v>
      </c>
      <c r="L336" s="6" t="s">
        <v>81</v>
      </c>
      <c r="M336" s="6" t="s">
        <v>45</v>
      </c>
      <c r="N336">
        <v>899</v>
      </c>
    </row>
    <row r="337" spans="1:14" x14ac:dyDescent="0.35">
      <c r="A337" s="6" t="s">
        <v>1323</v>
      </c>
      <c r="B337" s="7">
        <v>45719</v>
      </c>
      <c r="C337" s="6" t="s">
        <v>1324</v>
      </c>
      <c r="D337" s="6" t="s">
        <v>32</v>
      </c>
      <c r="E337">
        <v>3</v>
      </c>
      <c r="F337">
        <v>205.86</v>
      </c>
      <c r="G337" s="6" t="s">
        <v>1244</v>
      </c>
      <c r="H337" s="6" t="s">
        <v>60</v>
      </c>
      <c r="I337" s="6" t="s">
        <v>19</v>
      </c>
      <c r="J337" s="6" t="s">
        <v>1325</v>
      </c>
      <c r="K337">
        <v>4</v>
      </c>
      <c r="L337" s="6" t="s">
        <v>4283</v>
      </c>
      <c r="M337" s="6" t="s">
        <v>38</v>
      </c>
      <c r="N337">
        <v>617.58000000000004</v>
      </c>
    </row>
    <row r="338" spans="1:14" x14ac:dyDescent="0.35">
      <c r="A338" s="6" t="s">
        <v>1326</v>
      </c>
      <c r="B338" s="7">
        <v>45289</v>
      </c>
      <c r="C338" s="6" t="s">
        <v>1327</v>
      </c>
      <c r="D338" s="6" t="s">
        <v>58</v>
      </c>
      <c r="E338">
        <v>1</v>
      </c>
      <c r="F338">
        <v>18.2</v>
      </c>
      <c r="G338" s="6" t="s">
        <v>1328</v>
      </c>
      <c r="H338" s="6" t="s">
        <v>18</v>
      </c>
      <c r="I338" s="6" t="s">
        <v>89</v>
      </c>
      <c r="J338" s="6" t="s">
        <v>1329</v>
      </c>
      <c r="K338">
        <v>4</v>
      </c>
      <c r="L338" s="6" t="s">
        <v>21</v>
      </c>
      <c r="M338" s="6" t="s">
        <v>22</v>
      </c>
      <c r="N338">
        <v>18.2</v>
      </c>
    </row>
    <row r="339" spans="1:14" x14ac:dyDescent="0.35">
      <c r="A339" s="6" t="s">
        <v>1330</v>
      </c>
      <c r="B339" s="7">
        <v>45075</v>
      </c>
      <c r="C339" s="6" t="s">
        <v>1331</v>
      </c>
      <c r="D339" s="6" t="s">
        <v>32</v>
      </c>
      <c r="E339">
        <v>3</v>
      </c>
      <c r="F339">
        <v>502.77</v>
      </c>
      <c r="G339" s="6" t="s">
        <v>1332</v>
      </c>
      <c r="H339" s="6" t="s">
        <v>18</v>
      </c>
      <c r="I339" s="6" t="s">
        <v>43</v>
      </c>
      <c r="J339" s="6" t="s">
        <v>1333</v>
      </c>
      <c r="K339">
        <v>8</v>
      </c>
      <c r="L339" s="6" t="s">
        <v>81</v>
      </c>
      <c r="M339" s="6" t="s">
        <v>38</v>
      </c>
      <c r="N339">
        <v>1508.31</v>
      </c>
    </row>
    <row r="340" spans="1:14" x14ac:dyDescent="0.35">
      <c r="A340" s="6" t="s">
        <v>1334</v>
      </c>
      <c r="B340" s="7">
        <v>45238</v>
      </c>
      <c r="C340" s="6" t="s">
        <v>1335</v>
      </c>
      <c r="D340" s="6" t="s">
        <v>25</v>
      </c>
      <c r="E340">
        <v>5</v>
      </c>
      <c r="F340">
        <v>305.49</v>
      </c>
      <c r="G340" s="6" t="s">
        <v>1336</v>
      </c>
      <c r="H340" s="6" t="s">
        <v>18</v>
      </c>
      <c r="I340" s="6" t="s">
        <v>19</v>
      </c>
      <c r="J340" s="6" t="s">
        <v>1337</v>
      </c>
      <c r="K340">
        <v>10</v>
      </c>
      <c r="L340" s="6" t="s">
        <v>4283</v>
      </c>
      <c r="M340" s="6" t="s">
        <v>29</v>
      </c>
      <c r="N340">
        <v>1527.45</v>
      </c>
    </row>
    <row r="341" spans="1:14" x14ac:dyDescent="0.35">
      <c r="A341" s="6" t="s">
        <v>1338</v>
      </c>
      <c r="B341" s="7">
        <v>45392</v>
      </c>
      <c r="C341" s="6" t="s">
        <v>1339</v>
      </c>
      <c r="D341" s="6" t="s">
        <v>48</v>
      </c>
      <c r="E341">
        <v>2</v>
      </c>
      <c r="F341">
        <v>236.33</v>
      </c>
      <c r="G341" s="6" t="s">
        <v>1340</v>
      </c>
      <c r="H341" s="6" t="s">
        <v>27</v>
      </c>
      <c r="I341" s="6" t="s">
        <v>89</v>
      </c>
      <c r="J341" s="6" t="s">
        <v>1341</v>
      </c>
      <c r="K341">
        <v>3</v>
      </c>
      <c r="L341" s="6" t="s">
        <v>21</v>
      </c>
      <c r="M341" s="6" t="s">
        <v>22</v>
      </c>
      <c r="N341">
        <v>472.66</v>
      </c>
    </row>
    <row r="342" spans="1:14" x14ac:dyDescent="0.35">
      <c r="A342" s="6" t="s">
        <v>1342</v>
      </c>
      <c r="B342" s="7">
        <v>45039</v>
      </c>
      <c r="C342" s="6" t="s">
        <v>1343</v>
      </c>
      <c r="D342" s="6" t="s">
        <v>58</v>
      </c>
      <c r="E342">
        <v>5</v>
      </c>
      <c r="F342">
        <v>521.25</v>
      </c>
      <c r="G342" s="6" t="s">
        <v>1344</v>
      </c>
      <c r="H342" s="6" t="s">
        <v>65</v>
      </c>
      <c r="I342" s="6" t="s">
        <v>35</v>
      </c>
      <c r="J342" s="6" t="s">
        <v>1345</v>
      </c>
      <c r="K342">
        <v>8</v>
      </c>
      <c r="L342" s="6" t="s">
        <v>4283</v>
      </c>
      <c r="M342" s="6" t="s">
        <v>38</v>
      </c>
      <c r="N342">
        <v>2606.25</v>
      </c>
    </row>
    <row r="343" spans="1:14" x14ac:dyDescent="0.35">
      <c r="A343" s="6" t="s">
        <v>1346</v>
      </c>
      <c r="B343" s="7">
        <v>45558</v>
      </c>
      <c r="C343" s="6" t="s">
        <v>1347</v>
      </c>
      <c r="D343" s="6" t="s">
        <v>32</v>
      </c>
      <c r="E343">
        <v>1</v>
      </c>
      <c r="F343">
        <v>167.15</v>
      </c>
      <c r="G343" s="6" t="s">
        <v>1348</v>
      </c>
      <c r="H343" s="6" t="s">
        <v>60</v>
      </c>
      <c r="I343" s="6" t="s">
        <v>19</v>
      </c>
      <c r="J343" s="6" t="s">
        <v>1349</v>
      </c>
      <c r="K343">
        <v>5</v>
      </c>
      <c r="L343" s="6" t="s">
        <v>81</v>
      </c>
      <c r="M343" s="6" t="s">
        <v>38</v>
      </c>
      <c r="N343">
        <v>167.15</v>
      </c>
    </row>
    <row r="344" spans="1:14" x14ac:dyDescent="0.35">
      <c r="A344" s="6" t="s">
        <v>1350</v>
      </c>
      <c r="B344" s="7">
        <v>45832</v>
      </c>
      <c r="C344" s="6" t="s">
        <v>1351</v>
      </c>
      <c r="D344" s="6" t="s">
        <v>16</v>
      </c>
      <c r="E344">
        <v>5</v>
      </c>
      <c r="F344">
        <v>466.42</v>
      </c>
      <c r="G344" s="6" t="s">
        <v>1352</v>
      </c>
      <c r="H344" s="6" t="s">
        <v>60</v>
      </c>
      <c r="I344" s="6" t="s">
        <v>43</v>
      </c>
      <c r="J344" s="6" t="s">
        <v>1353</v>
      </c>
      <c r="K344">
        <v>5</v>
      </c>
      <c r="L344" s="6" t="s">
        <v>4283</v>
      </c>
      <c r="M344" s="6" t="s">
        <v>29</v>
      </c>
      <c r="N344">
        <v>2332.1</v>
      </c>
    </row>
    <row r="345" spans="1:14" x14ac:dyDescent="0.35">
      <c r="A345" s="6" t="s">
        <v>1354</v>
      </c>
      <c r="B345" s="7">
        <v>44983</v>
      </c>
      <c r="C345" s="6" t="s">
        <v>1355</v>
      </c>
      <c r="D345" s="6" t="s">
        <v>48</v>
      </c>
      <c r="E345">
        <v>1</v>
      </c>
      <c r="F345">
        <v>527.57000000000005</v>
      </c>
      <c r="G345" s="6" t="s">
        <v>1356</v>
      </c>
      <c r="H345" s="6" t="s">
        <v>18</v>
      </c>
      <c r="I345" s="6" t="s">
        <v>89</v>
      </c>
      <c r="J345" s="6" t="s">
        <v>1357</v>
      </c>
      <c r="K345">
        <v>3</v>
      </c>
      <c r="L345" s="6" t="s">
        <v>37</v>
      </c>
      <c r="M345" s="6" t="s">
        <v>45</v>
      </c>
      <c r="N345">
        <v>527.57000000000005</v>
      </c>
    </row>
    <row r="346" spans="1:14" x14ac:dyDescent="0.35">
      <c r="A346" s="6" t="s">
        <v>1358</v>
      </c>
      <c r="B346" s="7">
        <v>45722</v>
      </c>
      <c r="C346" s="6" t="s">
        <v>1359</v>
      </c>
      <c r="D346" s="6" t="s">
        <v>32</v>
      </c>
      <c r="E346">
        <v>3</v>
      </c>
      <c r="F346">
        <v>623.34</v>
      </c>
      <c r="G346" s="6" t="s">
        <v>1360</v>
      </c>
      <c r="H346" s="6" t="s">
        <v>27</v>
      </c>
      <c r="I346" s="6" t="s">
        <v>35</v>
      </c>
      <c r="J346" s="6" t="s">
        <v>1361</v>
      </c>
      <c r="K346">
        <v>3</v>
      </c>
      <c r="L346" s="6" t="s">
        <v>21</v>
      </c>
      <c r="M346" s="6" t="s">
        <v>22</v>
      </c>
      <c r="N346">
        <v>1870.02</v>
      </c>
    </row>
    <row r="347" spans="1:14" x14ac:dyDescent="0.35">
      <c r="A347" s="6" t="s">
        <v>1362</v>
      </c>
      <c r="B347" s="7">
        <v>45267</v>
      </c>
      <c r="C347" s="6" t="s">
        <v>1363</v>
      </c>
      <c r="D347" s="6" t="s">
        <v>32</v>
      </c>
      <c r="E347">
        <v>5</v>
      </c>
      <c r="F347">
        <v>501.26</v>
      </c>
      <c r="G347" s="6" t="s">
        <v>1364</v>
      </c>
      <c r="H347" s="6" t="s">
        <v>60</v>
      </c>
      <c r="I347" s="6" t="s">
        <v>19</v>
      </c>
      <c r="J347" s="6" t="s">
        <v>1365</v>
      </c>
      <c r="K347">
        <v>10</v>
      </c>
      <c r="L347" s="6" t="s">
        <v>37</v>
      </c>
      <c r="M347" s="6" t="s">
        <v>29</v>
      </c>
      <c r="N347">
        <v>2506.3000000000002</v>
      </c>
    </row>
    <row r="348" spans="1:14" x14ac:dyDescent="0.35">
      <c r="A348" s="6" t="s">
        <v>1366</v>
      </c>
      <c r="B348" s="7">
        <v>45632</v>
      </c>
      <c r="C348" s="6" t="s">
        <v>1367</v>
      </c>
      <c r="D348" s="6" t="s">
        <v>32</v>
      </c>
      <c r="E348">
        <v>1</v>
      </c>
      <c r="F348">
        <v>655.09</v>
      </c>
      <c r="G348" s="6" t="s">
        <v>1368</v>
      </c>
      <c r="H348" s="6" t="s">
        <v>65</v>
      </c>
      <c r="I348" s="6" t="s">
        <v>89</v>
      </c>
      <c r="J348" s="6" t="s">
        <v>1369</v>
      </c>
      <c r="K348">
        <v>6</v>
      </c>
      <c r="L348" s="6" t="s">
        <v>4283</v>
      </c>
      <c r="M348" s="6" t="s">
        <v>29</v>
      </c>
      <c r="N348">
        <v>655.09</v>
      </c>
    </row>
    <row r="349" spans="1:14" x14ac:dyDescent="0.35">
      <c r="A349" s="6" t="s">
        <v>1370</v>
      </c>
      <c r="B349" s="7">
        <v>45325</v>
      </c>
      <c r="C349" s="6" t="s">
        <v>1371</v>
      </c>
      <c r="D349" s="6" t="s">
        <v>48</v>
      </c>
      <c r="E349">
        <v>4</v>
      </c>
      <c r="F349">
        <v>264.79000000000002</v>
      </c>
      <c r="G349" s="6" t="s">
        <v>1372</v>
      </c>
      <c r="H349" s="6" t="s">
        <v>34</v>
      </c>
      <c r="I349" s="6" t="s">
        <v>89</v>
      </c>
      <c r="J349" s="6" t="s">
        <v>1373</v>
      </c>
      <c r="K349">
        <v>5</v>
      </c>
      <c r="L349" s="6" t="s">
        <v>21</v>
      </c>
      <c r="M349" s="6" t="s">
        <v>76</v>
      </c>
      <c r="N349">
        <v>1059.1600000000001</v>
      </c>
    </row>
    <row r="350" spans="1:14" x14ac:dyDescent="0.35">
      <c r="A350" s="6" t="s">
        <v>1374</v>
      </c>
      <c r="B350" s="7">
        <v>45364</v>
      </c>
      <c r="C350" s="6" t="s">
        <v>1375</v>
      </c>
      <c r="D350" s="6" t="s">
        <v>58</v>
      </c>
      <c r="E350">
        <v>3</v>
      </c>
      <c r="F350">
        <v>359.73</v>
      </c>
      <c r="G350" s="6" t="s">
        <v>1376</v>
      </c>
      <c r="H350" s="6" t="s">
        <v>18</v>
      </c>
      <c r="I350" s="6" t="s">
        <v>43</v>
      </c>
      <c r="J350" s="6" t="s">
        <v>1377</v>
      </c>
      <c r="K350">
        <v>7</v>
      </c>
      <c r="L350" s="6" t="s">
        <v>37</v>
      </c>
      <c r="M350" s="6" t="s">
        <v>38</v>
      </c>
      <c r="N350">
        <v>1079.19</v>
      </c>
    </row>
    <row r="351" spans="1:14" x14ac:dyDescent="0.35">
      <c r="A351" s="6" t="s">
        <v>1378</v>
      </c>
      <c r="B351" s="7">
        <v>45260</v>
      </c>
      <c r="C351" s="6" t="s">
        <v>1379</v>
      </c>
      <c r="D351" s="6" t="s">
        <v>41</v>
      </c>
      <c r="E351">
        <v>1</v>
      </c>
      <c r="F351">
        <v>465.33</v>
      </c>
      <c r="G351" s="6" t="s">
        <v>1380</v>
      </c>
      <c r="H351" s="6" t="s">
        <v>60</v>
      </c>
      <c r="I351" s="6" t="s">
        <v>50</v>
      </c>
      <c r="J351" s="6" t="s">
        <v>1381</v>
      </c>
      <c r="K351">
        <v>2</v>
      </c>
      <c r="L351" s="6" t="s">
        <v>37</v>
      </c>
      <c r="M351" s="6" t="s">
        <v>76</v>
      </c>
      <c r="N351">
        <v>465.33</v>
      </c>
    </row>
    <row r="352" spans="1:14" x14ac:dyDescent="0.35">
      <c r="A352" s="6" t="s">
        <v>1382</v>
      </c>
      <c r="B352" s="7">
        <v>45080</v>
      </c>
      <c r="C352" s="6" t="s">
        <v>1383</v>
      </c>
      <c r="D352" s="6" t="s">
        <v>41</v>
      </c>
      <c r="E352">
        <v>2</v>
      </c>
      <c r="F352">
        <v>54.41</v>
      </c>
      <c r="G352" s="6" t="s">
        <v>1384</v>
      </c>
      <c r="H352" s="6" t="s">
        <v>27</v>
      </c>
      <c r="I352" s="6" t="s">
        <v>19</v>
      </c>
      <c r="J352" s="6" t="s">
        <v>1385</v>
      </c>
      <c r="K352">
        <v>6</v>
      </c>
      <c r="L352" s="6" t="s">
        <v>4283</v>
      </c>
      <c r="M352" s="6" t="s">
        <v>22</v>
      </c>
      <c r="N352">
        <v>108.82</v>
      </c>
    </row>
    <row r="353" spans="1:14" x14ac:dyDescent="0.35">
      <c r="A353" s="6" t="s">
        <v>1386</v>
      </c>
      <c r="B353" s="7">
        <v>45703</v>
      </c>
      <c r="C353" s="6" t="s">
        <v>1387</v>
      </c>
      <c r="D353" s="6" t="s">
        <v>58</v>
      </c>
      <c r="E353">
        <v>1</v>
      </c>
      <c r="F353">
        <v>64.66</v>
      </c>
      <c r="G353" s="6" t="s">
        <v>1388</v>
      </c>
      <c r="H353" s="6" t="s">
        <v>18</v>
      </c>
      <c r="I353" s="6" t="s">
        <v>50</v>
      </c>
      <c r="J353" s="6" t="s">
        <v>1389</v>
      </c>
      <c r="K353">
        <v>4</v>
      </c>
      <c r="L353" s="6" t="s">
        <v>4283</v>
      </c>
      <c r="M353" s="6" t="s">
        <v>22</v>
      </c>
      <c r="N353">
        <v>64.66</v>
      </c>
    </row>
    <row r="354" spans="1:14" x14ac:dyDescent="0.35">
      <c r="A354" s="6" t="s">
        <v>1390</v>
      </c>
      <c r="B354" s="7">
        <v>45169</v>
      </c>
      <c r="C354" s="6" t="s">
        <v>1391</v>
      </c>
      <c r="D354" s="6" t="s">
        <v>41</v>
      </c>
      <c r="E354">
        <v>5</v>
      </c>
      <c r="F354">
        <v>173.96</v>
      </c>
      <c r="G354" s="6" t="s">
        <v>1392</v>
      </c>
      <c r="H354" s="6" t="s">
        <v>18</v>
      </c>
      <c r="I354" s="6" t="s">
        <v>89</v>
      </c>
      <c r="J354" s="6" t="s">
        <v>1393</v>
      </c>
      <c r="K354">
        <v>8</v>
      </c>
      <c r="L354" s="6" t="s">
        <v>81</v>
      </c>
      <c r="M354" s="6" t="s">
        <v>22</v>
      </c>
      <c r="N354">
        <v>869.8</v>
      </c>
    </row>
    <row r="355" spans="1:14" x14ac:dyDescent="0.35">
      <c r="A355" s="6" t="s">
        <v>1394</v>
      </c>
      <c r="B355" s="7">
        <v>45744</v>
      </c>
      <c r="C355" s="6" t="s">
        <v>1395</v>
      </c>
      <c r="D355" s="6" t="s">
        <v>32</v>
      </c>
      <c r="E355">
        <v>1</v>
      </c>
      <c r="F355">
        <v>630.82000000000005</v>
      </c>
      <c r="G355" s="6" t="s">
        <v>1396</v>
      </c>
      <c r="H355" s="6" t="s">
        <v>27</v>
      </c>
      <c r="I355" s="6" t="s">
        <v>50</v>
      </c>
      <c r="J355" s="6" t="s">
        <v>1397</v>
      </c>
      <c r="K355">
        <v>5</v>
      </c>
      <c r="L355" s="6" t="s">
        <v>37</v>
      </c>
      <c r="M355" s="6" t="s">
        <v>76</v>
      </c>
      <c r="N355">
        <v>630.82000000000005</v>
      </c>
    </row>
    <row r="356" spans="1:14" x14ac:dyDescent="0.35">
      <c r="A356" s="6" t="s">
        <v>1398</v>
      </c>
      <c r="B356" s="7">
        <v>45118</v>
      </c>
      <c r="C356" s="6" t="s">
        <v>1399</v>
      </c>
      <c r="D356" s="6" t="s">
        <v>25</v>
      </c>
      <c r="E356">
        <v>1</v>
      </c>
      <c r="F356">
        <v>693.41</v>
      </c>
      <c r="G356" s="6" t="s">
        <v>1400</v>
      </c>
      <c r="H356" s="6" t="s">
        <v>18</v>
      </c>
      <c r="I356" s="6" t="s">
        <v>19</v>
      </c>
      <c r="J356" s="6" t="s">
        <v>1401</v>
      </c>
      <c r="K356">
        <v>4</v>
      </c>
      <c r="L356" s="6" t="s">
        <v>4283</v>
      </c>
      <c r="M356" s="6" t="s">
        <v>22</v>
      </c>
      <c r="N356">
        <v>693.41</v>
      </c>
    </row>
    <row r="357" spans="1:14" x14ac:dyDescent="0.35">
      <c r="A357" s="6" t="s">
        <v>1402</v>
      </c>
      <c r="B357" s="7">
        <v>45811</v>
      </c>
      <c r="C357" s="6" t="s">
        <v>1403</v>
      </c>
      <c r="D357" s="6" t="s">
        <v>32</v>
      </c>
      <c r="E357">
        <v>3</v>
      </c>
      <c r="F357">
        <v>433.33</v>
      </c>
      <c r="G357" s="6" t="s">
        <v>1404</v>
      </c>
      <c r="H357" s="6" t="s">
        <v>34</v>
      </c>
      <c r="I357" s="6" t="s">
        <v>35</v>
      </c>
      <c r="J357" s="6" t="s">
        <v>1405</v>
      </c>
      <c r="K357">
        <v>4</v>
      </c>
      <c r="L357" s="6" t="s">
        <v>37</v>
      </c>
      <c r="M357" s="6" t="s">
        <v>29</v>
      </c>
      <c r="N357">
        <v>1299.99</v>
      </c>
    </row>
    <row r="358" spans="1:14" x14ac:dyDescent="0.35">
      <c r="A358" s="6" t="s">
        <v>1406</v>
      </c>
      <c r="B358" s="7">
        <v>45052</v>
      </c>
      <c r="C358" s="6" t="s">
        <v>1407</v>
      </c>
      <c r="D358" s="6" t="s">
        <v>48</v>
      </c>
      <c r="E358">
        <v>5</v>
      </c>
      <c r="F358">
        <v>374.58</v>
      </c>
      <c r="G358" s="6" t="s">
        <v>1408</v>
      </c>
      <c r="H358" s="6" t="s">
        <v>60</v>
      </c>
      <c r="I358" s="6" t="s">
        <v>35</v>
      </c>
      <c r="J358" s="6" t="s">
        <v>1409</v>
      </c>
      <c r="K358">
        <v>10</v>
      </c>
      <c r="L358" s="6" t="s">
        <v>37</v>
      </c>
      <c r="M358" s="6" t="s">
        <v>22</v>
      </c>
      <c r="N358">
        <v>1872.9</v>
      </c>
    </row>
    <row r="359" spans="1:14" x14ac:dyDescent="0.35">
      <c r="A359" s="6" t="s">
        <v>1410</v>
      </c>
      <c r="B359" s="7">
        <v>45115</v>
      </c>
      <c r="C359" s="6" t="s">
        <v>1411</v>
      </c>
      <c r="D359" s="6" t="s">
        <v>58</v>
      </c>
      <c r="E359">
        <v>5</v>
      </c>
      <c r="F359">
        <v>408.56</v>
      </c>
      <c r="G359" s="6" t="s">
        <v>1340</v>
      </c>
      <c r="H359" s="6" t="s">
        <v>18</v>
      </c>
      <c r="I359" s="6" t="s">
        <v>50</v>
      </c>
      <c r="J359" s="6" t="s">
        <v>1412</v>
      </c>
      <c r="K359">
        <v>8</v>
      </c>
      <c r="L359" s="6" t="s">
        <v>37</v>
      </c>
      <c r="M359" s="6" t="s">
        <v>22</v>
      </c>
      <c r="N359">
        <v>2042.8</v>
      </c>
    </row>
    <row r="360" spans="1:14" x14ac:dyDescent="0.35">
      <c r="A360" s="6" t="s">
        <v>1413</v>
      </c>
      <c r="B360" s="7">
        <v>45389</v>
      </c>
      <c r="C360" s="6" t="s">
        <v>1414</v>
      </c>
      <c r="D360" s="6" t="s">
        <v>32</v>
      </c>
      <c r="E360">
        <v>2</v>
      </c>
      <c r="F360">
        <v>183.67</v>
      </c>
      <c r="G360" s="6" t="s">
        <v>1415</v>
      </c>
      <c r="H360" s="6" t="s">
        <v>27</v>
      </c>
      <c r="I360" s="6" t="s">
        <v>35</v>
      </c>
      <c r="J360" s="6" t="s">
        <v>1416</v>
      </c>
      <c r="K360">
        <v>3</v>
      </c>
      <c r="L360" s="6" t="s">
        <v>21</v>
      </c>
      <c r="M360" s="6" t="s">
        <v>76</v>
      </c>
      <c r="N360">
        <v>367.34</v>
      </c>
    </row>
    <row r="361" spans="1:14" x14ac:dyDescent="0.35">
      <c r="A361" s="6" t="s">
        <v>1417</v>
      </c>
      <c r="B361" s="7">
        <v>45086</v>
      </c>
      <c r="C361" s="6" t="s">
        <v>1418</v>
      </c>
      <c r="D361" s="6" t="s">
        <v>73</v>
      </c>
      <c r="E361">
        <v>4</v>
      </c>
      <c r="F361">
        <v>606.57000000000005</v>
      </c>
      <c r="G361" s="6" t="s">
        <v>1419</v>
      </c>
      <c r="H361" s="6" t="s">
        <v>18</v>
      </c>
      <c r="I361" s="6" t="s">
        <v>50</v>
      </c>
      <c r="J361" s="6" t="s">
        <v>1420</v>
      </c>
      <c r="K361">
        <v>5</v>
      </c>
      <c r="L361" s="6" t="s">
        <v>81</v>
      </c>
      <c r="M361" s="6" t="s">
        <v>29</v>
      </c>
      <c r="N361">
        <v>2426.2800000000002</v>
      </c>
    </row>
    <row r="362" spans="1:14" x14ac:dyDescent="0.35">
      <c r="A362" s="6" t="s">
        <v>1421</v>
      </c>
      <c r="B362" s="7">
        <v>45449</v>
      </c>
      <c r="C362" s="6" t="s">
        <v>1422</v>
      </c>
      <c r="D362" s="6" t="s">
        <v>25</v>
      </c>
      <c r="E362">
        <v>4</v>
      </c>
      <c r="F362">
        <v>589.57000000000005</v>
      </c>
      <c r="G362" s="6" t="s">
        <v>1423</v>
      </c>
      <c r="H362" s="6" t="s">
        <v>65</v>
      </c>
      <c r="I362" s="6" t="s">
        <v>89</v>
      </c>
      <c r="J362" s="6" t="s">
        <v>1424</v>
      </c>
      <c r="K362">
        <v>8</v>
      </c>
      <c r="L362" s="6" t="s">
        <v>4283</v>
      </c>
      <c r="M362" s="6" t="s">
        <v>22</v>
      </c>
      <c r="N362">
        <v>2358.2800000000002</v>
      </c>
    </row>
    <row r="363" spans="1:14" x14ac:dyDescent="0.35">
      <c r="A363" s="6" t="s">
        <v>1425</v>
      </c>
      <c r="B363" s="7">
        <v>45472</v>
      </c>
      <c r="C363" s="6" t="s">
        <v>1426</v>
      </c>
      <c r="D363" s="6" t="s">
        <v>48</v>
      </c>
      <c r="E363">
        <v>5</v>
      </c>
      <c r="F363">
        <v>659.85</v>
      </c>
      <c r="G363" s="6" t="s">
        <v>1427</v>
      </c>
      <c r="H363" s="6" t="s">
        <v>34</v>
      </c>
      <c r="I363" s="6" t="s">
        <v>50</v>
      </c>
      <c r="J363" s="6" t="s">
        <v>1428</v>
      </c>
      <c r="K363">
        <v>9</v>
      </c>
      <c r="L363" s="6" t="s">
        <v>21</v>
      </c>
      <c r="M363" s="6" t="s">
        <v>45</v>
      </c>
      <c r="N363">
        <v>3299.25</v>
      </c>
    </row>
    <row r="364" spans="1:14" x14ac:dyDescent="0.35">
      <c r="A364" s="6" t="s">
        <v>1429</v>
      </c>
      <c r="B364" s="7">
        <v>45104</v>
      </c>
      <c r="C364" s="6" t="s">
        <v>1430</v>
      </c>
      <c r="D364" s="6" t="s">
        <v>16</v>
      </c>
      <c r="E364">
        <v>4</v>
      </c>
      <c r="F364">
        <v>206.84</v>
      </c>
      <c r="G364" s="6" t="s">
        <v>1431</v>
      </c>
      <c r="H364" s="6" t="s">
        <v>65</v>
      </c>
      <c r="I364" s="6" t="s">
        <v>35</v>
      </c>
      <c r="J364" s="6" t="s">
        <v>1432</v>
      </c>
      <c r="K364">
        <v>5</v>
      </c>
      <c r="L364" s="6" t="s">
        <v>81</v>
      </c>
      <c r="M364" s="6" t="s">
        <v>22</v>
      </c>
      <c r="N364">
        <v>827.36</v>
      </c>
    </row>
    <row r="365" spans="1:14" x14ac:dyDescent="0.35">
      <c r="A365" s="6" t="s">
        <v>1433</v>
      </c>
      <c r="B365" s="7">
        <v>45436</v>
      </c>
      <c r="C365" s="6" t="s">
        <v>1434</v>
      </c>
      <c r="D365" s="6" t="s">
        <v>58</v>
      </c>
      <c r="E365">
        <v>5</v>
      </c>
      <c r="F365">
        <v>113.87</v>
      </c>
      <c r="G365" s="6" t="s">
        <v>212</v>
      </c>
      <c r="H365" s="6" t="s">
        <v>34</v>
      </c>
      <c r="I365" s="6" t="s">
        <v>89</v>
      </c>
      <c r="J365" s="6" t="s">
        <v>1435</v>
      </c>
      <c r="K365">
        <v>6</v>
      </c>
      <c r="L365" s="6" t="s">
        <v>21</v>
      </c>
      <c r="M365" s="6" t="s">
        <v>38</v>
      </c>
      <c r="N365">
        <v>569.35</v>
      </c>
    </row>
    <row r="366" spans="1:14" x14ac:dyDescent="0.35">
      <c r="A366" s="6" t="s">
        <v>1436</v>
      </c>
      <c r="B366" s="7">
        <v>45254</v>
      </c>
      <c r="C366" s="6" t="s">
        <v>1437</v>
      </c>
      <c r="D366" s="6" t="s">
        <v>25</v>
      </c>
      <c r="E366">
        <v>5</v>
      </c>
      <c r="F366">
        <v>628.74</v>
      </c>
      <c r="G366" s="6" t="s">
        <v>1121</v>
      </c>
      <c r="H366" s="6" t="s">
        <v>65</v>
      </c>
      <c r="I366" s="6" t="s">
        <v>35</v>
      </c>
      <c r="J366" s="6" t="s">
        <v>1438</v>
      </c>
      <c r="K366">
        <v>9</v>
      </c>
      <c r="L366" s="6" t="s">
        <v>37</v>
      </c>
      <c r="M366" s="6" t="s">
        <v>45</v>
      </c>
      <c r="N366">
        <v>3143.7</v>
      </c>
    </row>
    <row r="367" spans="1:14" x14ac:dyDescent="0.35">
      <c r="A367" s="6" t="s">
        <v>1439</v>
      </c>
      <c r="B367" s="7">
        <v>45702</v>
      </c>
      <c r="C367" s="6" t="s">
        <v>1440</v>
      </c>
      <c r="D367" s="6" t="s">
        <v>25</v>
      </c>
      <c r="E367">
        <v>1</v>
      </c>
      <c r="F367">
        <v>678.38</v>
      </c>
      <c r="G367" s="6" t="s">
        <v>1313</v>
      </c>
      <c r="H367" s="6" t="s">
        <v>34</v>
      </c>
      <c r="I367" s="6" t="s">
        <v>35</v>
      </c>
      <c r="J367" s="6" t="s">
        <v>1441</v>
      </c>
      <c r="K367">
        <v>4</v>
      </c>
      <c r="L367" s="6" t="s">
        <v>21</v>
      </c>
      <c r="M367" s="6" t="s">
        <v>29</v>
      </c>
      <c r="N367">
        <v>678.38</v>
      </c>
    </row>
    <row r="368" spans="1:14" x14ac:dyDescent="0.35">
      <c r="A368" s="6" t="s">
        <v>1442</v>
      </c>
      <c r="B368" s="7">
        <v>44967</v>
      </c>
      <c r="C368" s="6" t="s">
        <v>1443</v>
      </c>
      <c r="D368" s="6" t="s">
        <v>48</v>
      </c>
      <c r="E368">
        <v>3</v>
      </c>
      <c r="F368">
        <v>602.24</v>
      </c>
      <c r="G368" s="6" t="s">
        <v>1444</v>
      </c>
      <c r="H368" s="6" t="s">
        <v>18</v>
      </c>
      <c r="I368" s="6" t="s">
        <v>89</v>
      </c>
      <c r="J368" s="6" t="s">
        <v>1445</v>
      </c>
      <c r="K368">
        <v>8</v>
      </c>
      <c r="L368" s="6" t="s">
        <v>4283</v>
      </c>
      <c r="M368" s="6" t="s">
        <v>29</v>
      </c>
      <c r="N368">
        <v>1806.72</v>
      </c>
    </row>
    <row r="369" spans="1:14" x14ac:dyDescent="0.35">
      <c r="A369" s="6" t="s">
        <v>1446</v>
      </c>
      <c r="B369" s="7">
        <v>45407</v>
      </c>
      <c r="C369" s="6" t="s">
        <v>1447</v>
      </c>
      <c r="D369" s="6" t="s">
        <v>58</v>
      </c>
      <c r="E369">
        <v>5</v>
      </c>
      <c r="F369">
        <v>658.77</v>
      </c>
      <c r="G369" s="6" t="s">
        <v>1032</v>
      </c>
      <c r="H369" s="6" t="s">
        <v>60</v>
      </c>
      <c r="I369" s="6" t="s">
        <v>89</v>
      </c>
      <c r="J369" s="6" t="s">
        <v>1448</v>
      </c>
      <c r="K369">
        <v>10</v>
      </c>
      <c r="L369" s="6" t="s">
        <v>37</v>
      </c>
      <c r="M369" s="6" t="s">
        <v>22</v>
      </c>
      <c r="N369">
        <v>3293.85</v>
      </c>
    </row>
    <row r="370" spans="1:14" x14ac:dyDescent="0.35">
      <c r="A370" s="6" t="s">
        <v>1449</v>
      </c>
      <c r="B370" s="7">
        <v>45047</v>
      </c>
      <c r="C370" s="6" t="s">
        <v>1450</v>
      </c>
      <c r="D370" s="6" t="s">
        <v>16</v>
      </c>
      <c r="E370">
        <v>3</v>
      </c>
      <c r="F370">
        <v>271.02</v>
      </c>
      <c r="G370" s="6" t="s">
        <v>1451</v>
      </c>
      <c r="H370" s="6" t="s">
        <v>34</v>
      </c>
      <c r="I370" s="6" t="s">
        <v>35</v>
      </c>
      <c r="J370" s="6" t="s">
        <v>1452</v>
      </c>
      <c r="K370">
        <v>6</v>
      </c>
      <c r="L370" s="6" t="s">
        <v>4283</v>
      </c>
      <c r="M370" s="6" t="s">
        <v>76</v>
      </c>
      <c r="N370">
        <v>813.06</v>
      </c>
    </row>
    <row r="371" spans="1:14" x14ac:dyDescent="0.35">
      <c r="A371" s="6" t="s">
        <v>1453</v>
      </c>
      <c r="B371" s="7">
        <v>45648</v>
      </c>
      <c r="C371" s="6" t="s">
        <v>1454</v>
      </c>
      <c r="D371" s="6" t="s">
        <v>16</v>
      </c>
      <c r="E371">
        <v>5</v>
      </c>
      <c r="F371">
        <v>375.25</v>
      </c>
      <c r="G371" s="6" t="s">
        <v>1455</v>
      </c>
      <c r="H371" s="6" t="s">
        <v>60</v>
      </c>
      <c r="I371" s="6" t="s">
        <v>89</v>
      </c>
      <c r="J371" s="6" t="s">
        <v>1456</v>
      </c>
      <c r="K371">
        <v>9</v>
      </c>
      <c r="L371" s="6" t="s">
        <v>21</v>
      </c>
      <c r="M371" s="6" t="s">
        <v>38</v>
      </c>
      <c r="N371">
        <v>1876.25</v>
      </c>
    </row>
    <row r="372" spans="1:14" x14ac:dyDescent="0.35">
      <c r="A372" s="6" t="s">
        <v>1457</v>
      </c>
      <c r="B372" s="7">
        <v>45780</v>
      </c>
      <c r="C372" s="6" t="s">
        <v>1458</v>
      </c>
      <c r="D372" s="6" t="s">
        <v>25</v>
      </c>
      <c r="E372">
        <v>1</v>
      </c>
      <c r="F372">
        <v>312.11</v>
      </c>
      <c r="G372" s="6" t="s">
        <v>1459</v>
      </c>
      <c r="H372" s="6" t="s">
        <v>27</v>
      </c>
      <c r="I372" s="6" t="s">
        <v>35</v>
      </c>
      <c r="J372" s="6" t="s">
        <v>1460</v>
      </c>
      <c r="K372">
        <v>4</v>
      </c>
      <c r="L372" s="6" t="s">
        <v>81</v>
      </c>
      <c r="M372" s="6" t="s">
        <v>45</v>
      </c>
      <c r="N372">
        <v>312.11</v>
      </c>
    </row>
    <row r="373" spans="1:14" x14ac:dyDescent="0.35">
      <c r="A373" s="6" t="s">
        <v>1461</v>
      </c>
      <c r="B373" s="7">
        <v>44931</v>
      </c>
      <c r="C373" s="6" t="s">
        <v>1462</v>
      </c>
      <c r="D373" s="6" t="s">
        <v>25</v>
      </c>
      <c r="E373">
        <v>5</v>
      </c>
      <c r="F373">
        <v>307.76</v>
      </c>
      <c r="G373" s="6" t="s">
        <v>88</v>
      </c>
      <c r="H373" s="6" t="s">
        <v>60</v>
      </c>
      <c r="I373" s="6" t="s">
        <v>89</v>
      </c>
      <c r="J373" s="6" t="s">
        <v>1463</v>
      </c>
      <c r="K373">
        <v>9</v>
      </c>
      <c r="L373" s="6" t="s">
        <v>37</v>
      </c>
      <c r="M373" s="6" t="s">
        <v>76</v>
      </c>
      <c r="N373">
        <v>1538.8</v>
      </c>
    </row>
    <row r="374" spans="1:14" x14ac:dyDescent="0.35">
      <c r="A374" s="6" t="s">
        <v>1464</v>
      </c>
      <c r="B374" s="7">
        <v>45702</v>
      </c>
      <c r="C374" s="6" t="s">
        <v>1465</v>
      </c>
      <c r="D374" s="6" t="s">
        <v>41</v>
      </c>
      <c r="E374">
        <v>3</v>
      </c>
      <c r="F374">
        <v>483.53</v>
      </c>
      <c r="G374" s="6" t="s">
        <v>1466</v>
      </c>
      <c r="H374" s="6" t="s">
        <v>65</v>
      </c>
      <c r="I374" s="6" t="s">
        <v>43</v>
      </c>
      <c r="J374" s="6" t="s">
        <v>1467</v>
      </c>
      <c r="K374">
        <v>4</v>
      </c>
      <c r="L374" s="6" t="s">
        <v>4283</v>
      </c>
      <c r="M374" s="6" t="s">
        <v>29</v>
      </c>
      <c r="N374">
        <v>1450.59</v>
      </c>
    </row>
    <row r="375" spans="1:14" x14ac:dyDescent="0.35">
      <c r="A375" s="6" t="s">
        <v>1468</v>
      </c>
      <c r="B375" s="7">
        <v>44928</v>
      </c>
      <c r="C375" s="6" t="s">
        <v>1469</v>
      </c>
      <c r="D375" s="6" t="s">
        <v>58</v>
      </c>
      <c r="E375">
        <v>3</v>
      </c>
      <c r="F375">
        <v>341.15</v>
      </c>
      <c r="G375" s="6" t="s">
        <v>1470</v>
      </c>
      <c r="H375" s="6" t="s">
        <v>65</v>
      </c>
      <c r="I375" s="6" t="s">
        <v>89</v>
      </c>
      <c r="J375" s="6" t="s">
        <v>1471</v>
      </c>
      <c r="K375">
        <v>4</v>
      </c>
      <c r="L375" s="6" t="s">
        <v>37</v>
      </c>
      <c r="M375" s="6" t="s">
        <v>22</v>
      </c>
      <c r="N375">
        <v>1023.45</v>
      </c>
    </row>
    <row r="376" spans="1:14" x14ac:dyDescent="0.35">
      <c r="A376" s="6" t="s">
        <v>1472</v>
      </c>
      <c r="B376" s="7">
        <v>45551</v>
      </c>
      <c r="C376" s="6" t="s">
        <v>1473</v>
      </c>
      <c r="D376" s="6" t="s">
        <v>16</v>
      </c>
      <c r="E376">
        <v>1</v>
      </c>
      <c r="F376">
        <v>571.9</v>
      </c>
      <c r="G376" s="6" t="s">
        <v>327</v>
      </c>
      <c r="H376" s="6" t="s">
        <v>60</v>
      </c>
      <c r="I376" s="6" t="s">
        <v>89</v>
      </c>
      <c r="J376" s="6" t="s">
        <v>1474</v>
      </c>
      <c r="K376">
        <v>1</v>
      </c>
      <c r="L376" s="6" t="s">
        <v>81</v>
      </c>
      <c r="M376" s="6" t="s">
        <v>22</v>
      </c>
      <c r="N376">
        <v>571.9</v>
      </c>
    </row>
    <row r="377" spans="1:14" x14ac:dyDescent="0.35">
      <c r="A377" s="6" t="s">
        <v>1475</v>
      </c>
      <c r="B377" s="7">
        <v>45673</v>
      </c>
      <c r="C377" s="6" t="s">
        <v>1476</v>
      </c>
      <c r="D377" s="6" t="s">
        <v>16</v>
      </c>
      <c r="E377">
        <v>4</v>
      </c>
      <c r="F377">
        <v>95.03</v>
      </c>
      <c r="G377" s="6" t="s">
        <v>1477</v>
      </c>
      <c r="H377" s="6" t="s">
        <v>27</v>
      </c>
      <c r="I377" s="6" t="s">
        <v>19</v>
      </c>
      <c r="J377" s="6" t="s">
        <v>1478</v>
      </c>
      <c r="K377">
        <v>8</v>
      </c>
      <c r="L377" s="6" t="s">
        <v>37</v>
      </c>
      <c r="M377" s="6" t="s">
        <v>45</v>
      </c>
      <c r="N377">
        <v>380.12</v>
      </c>
    </row>
    <row r="378" spans="1:14" x14ac:dyDescent="0.35">
      <c r="A378" s="6" t="s">
        <v>1479</v>
      </c>
      <c r="B378" s="7">
        <v>45162</v>
      </c>
      <c r="C378" s="6" t="s">
        <v>1480</v>
      </c>
      <c r="D378" s="6" t="s">
        <v>16</v>
      </c>
      <c r="E378">
        <v>5</v>
      </c>
      <c r="F378">
        <v>201.22</v>
      </c>
      <c r="G378" s="6" t="s">
        <v>1481</v>
      </c>
      <c r="H378" s="6" t="s">
        <v>18</v>
      </c>
      <c r="I378" s="6" t="s">
        <v>89</v>
      </c>
      <c r="J378" s="6" t="s">
        <v>1482</v>
      </c>
      <c r="K378">
        <v>6</v>
      </c>
      <c r="L378" s="6" t="s">
        <v>37</v>
      </c>
      <c r="M378" s="6" t="s">
        <v>45</v>
      </c>
      <c r="N378">
        <v>1006.1</v>
      </c>
    </row>
    <row r="379" spans="1:14" x14ac:dyDescent="0.35">
      <c r="A379" s="6" t="s">
        <v>1483</v>
      </c>
      <c r="B379" s="7">
        <v>45495</v>
      </c>
      <c r="C379" s="6" t="s">
        <v>1484</v>
      </c>
      <c r="D379" s="6" t="s">
        <v>16</v>
      </c>
      <c r="E379">
        <v>1</v>
      </c>
      <c r="F379">
        <v>260.26</v>
      </c>
      <c r="G379" s="6" t="s">
        <v>1229</v>
      </c>
      <c r="H379" s="6" t="s">
        <v>27</v>
      </c>
      <c r="I379" s="6" t="s">
        <v>89</v>
      </c>
      <c r="J379" s="6" t="s">
        <v>1485</v>
      </c>
      <c r="K379">
        <v>5</v>
      </c>
      <c r="L379" s="6" t="s">
        <v>81</v>
      </c>
      <c r="M379" s="6" t="s">
        <v>22</v>
      </c>
      <c r="N379">
        <v>260.26</v>
      </c>
    </row>
    <row r="380" spans="1:14" x14ac:dyDescent="0.35">
      <c r="A380" s="6" t="s">
        <v>1486</v>
      </c>
      <c r="B380" s="7">
        <v>45323</v>
      </c>
      <c r="C380" s="6" t="s">
        <v>1487</v>
      </c>
      <c r="D380" s="6" t="s">
        <v>41</v>
      </c>
      <c r="E380">
        <v>5</v>
      </c>
      <c r="F380">
        <v>64.5</v>
      </c>
      <c r="G380" s="6" t="s">
        <v>1488</v>
      </c>
      <c r="H380" s="6" t="s">
        <v>34</v>
      </c>
      <c r="I380" s="6" t="s">
        <v>89</v>
      </c>
      <c r="J380" s="6" t="s">
        <v>1489</v>
      </c>
      <c r="K380">
        <v>8</v>
      </c>
      <c r="L380" s="6" t="s">
        <v>81</v>
      </c>
      <c r="M380" s="6" t="s">
        <v>22</v>
      </c>
      <c r="N380">
        <v>322.5</v>
      </c>
    </row>
    <row r="381" spans="1:14" x14ac:dyDescent="0.35">
      <c r="A381" s="6" t="s">
        <v>1490</v>
      </c>
      <c r="B381" s="7">
        <v>45556</v>
      </c>
      <c r="C381" s="6" t="s">
        <v>1491</v>
      </c>
      <c r="D381" s="6" t="s">
        <v>25</v>
      </c>
      <c r="E381">
        <v>3</v>
      </c>
      <c r="F381">
        <v>297.67</v>
      </c>
      <c r="G381" s="6" t="s">
        <v>739</v>
      </c>
      <c r="H381" s="6" t="s">
        <v>27</v>
      </c>
      <c r="I381" s="6" t="s">
        <v>19</v>
      </c>
      <c r="J381" s="6" t="s">
        <v>1492</v>
      </c>
      <c r="K381">
        <v>6</v>
      </c>
      <c r="L381" s="6" t="s">
        <v>4283</v>
      </c>
      <c r="M381" s="6" t="s">
        <v>76</v>
      </c>
      <c r="N381">
        <v>893.01</v>
      </c>
    </row>
    <row r="382" spans="1:14" x14ac:dyDescent="0.35">
      <c r="A382" s="6" t="s">
        <v>1493</v>
      </c>
      <c r="B382" s="7">
        <v>45402</v>
      </c>
      <c r="C382" s="6" t="s">
        <v>1494</v>
      </c>
      <c r="D382" s="6" t="s">
        <v>48</v>
      </c>
      <c r="E382">
        <v>4</v>
      </c>
      <c r="F382">
        <v>331.9</v>
      </c>
      <c r="G382" s="6" t="s">
        <v>1081</v>
      </c>
      <c r="H382" s="6" t="s">
        <v>65</v>
      </c>
      <c r="I382" s="6" t="s">
        <v>89</v>
      </c>
      <c r="J382" s="6" t="s">
        <v>1495</v>
      </c>
      <c r="K382">
        <v>5</v>
      </c>
      <c r="L382" s="6" t="s">
        <v>21</v>
      </c>
      <c r="M382" s="6" t="s">
        <v>22</v>
      </c>
      <c r="N382">
        <v>1327.6</v>
      </c>
    </row>
    <row r="383" spans="1:14" x14ac:dyDescent="0.35">
      <c r="A383" s="6" t="s">
        <v>1496</v>
      </c>
      <c r="B383" s="7">
        <v>45084</v>
      </c>
      <c r="C383" s="6" t="s">
        <v>1497</v>
      </c>
      <c r="D383" s="6" t="s">
        <v>41</v>
      </c>
      <c r="E383">
        <v>1</v>
      </c>
      <c r="F383">
        <v>191.76</v>
      </c>
      <c r="G383" s="6" t="s">
        <v>223</v>
      </c>
      <c r="H383" s="6" t="s">
        <v>34</v>
      </c>
      <c r="I383" s="6" t="s">
        <v>43</v>
      </c>
      <c r="J383" s="6" t="s">
        <v>1498</v>
      </c>
      <c r="K383">
        <v>1</v>
      </c>
      <c r="L383" s="6" t="s">
        <v>37</v>
      </c>
      <c r="M383" s="6" t="s">
        <v>22</v>
      </c>
      <c r="N383">
        <v>191.76</v>
      </c>
    </row>
    <row r="384" spans="1:14" x14ac:dyDescent="0.35">
      <c r="A384" s="6" t="s">
        <v>1499</v>
      </c>
      <c r="B384" s="7">
        <v>45687</v>
      </c>
      <c r="C384" s="6" t="s">
        <v>1500</v>
      </c>
      <c r="D384" s="6" t="s">
        <v>48</v>
      </c>
      <c r="E384">
        <v>4</v>
      </c>
      <c r="F384">
        <v>263.08999999999997</v>
      </c>
      <c r="G384" s="6" t="s">
        <v>1501</v>
      </c>
      <c r="H384" s="6" t="s">
        <v>18</v>
      </c>
      <c r="I384" s="6" t="s">
        <v>19</v>
      </c>
      <c r="J384" s="6" t="s">
        <v>1502</v>
      </c>
      <c r="K384">
        <v>8</v>
      </c>
      <c r="L384" s="6" t="s">
        <v>21</v>
      </c>
      <c r="M384" s="6" t="s">
        <v>76</v>
      </c>
      <c r="N384">
        <v>1052.3599999999999</v>
      </c>
    </row>
    <row r="385" spans="1:14" x14ac:dyDescent="0.35">
      <c r="A385" s="6" t="s">
        <v>1503</v>
      </c>
      <c r="B385" s="7">
        <v>44946</v>
      </c>
      <c r="C385" s="6" t="s">
        <v>1504</v>
      </c>
      <c r="D385" s="6" t="s">
        <v>41</v>
      </c>
      <c r="E385">
        <v>4</v>
      </c>
      <c r="F385">
        <v>393.8</v>
      </c>
      <c r="G385" s="6" t="s">
        <v>407</v>
      </c>
      <c r="H385" s="6" t="s">
        <v>34</v>
      </c>
      <c r="I385" s="6" t="s">
        <v>89</v>
      </c>
      <c r="J385" s="6" t="s">
        <v>1505</v>
      </c>
      <c r="K385">
        <v>7</v>
      </c>
      <c r="L385" s="6" t="s">
        <v>21</v>
      </c>
      <c r="M385" s="6" t="s">
        <v>38</v>
      </c>
      <c r="N385">
        <v>1575.2</v>
      </c>
    </row>
    <row r="386" spans="1:14" x14ac:dyDescent="0.35">
      <c r="A386" s="6" t="s">
        <v>1506</v>
      </c>
      <c r="B386" s="7">
        <v>45620</v>
      </c>
      <c r="C386" s="6" t="s">
        <v>1507</v>
      </c>
      <c r="D386" s="6" t="s">
        <v>41</v>
      </c>
      <c r="E386">
        <v>3</v>
      </c>
      <c r="F386">
        <v>553.57000000000005</v>
      </c>
      <c r="G386" s="6" t="s">
        <v>1508</v>
      </c>
      <c r="H386" s="6" t="s">
        <v>34</v>
      </c>
      <c r="I386" s="6" t="s">
        <v>43</v>
      </c>
      <c r="J386" s="6" t="s">
        <v>1509</v>
      </c>
      <c r="K386">
        <v>4</v>
      </c>
      <c r="L386" s="6" t="s">
        <v>37</v>
      </c>
      <c r="M386" s="6" t="s">
        <v>45</v>
      </c>
      <c r="N386">
        <v>1660.71</v>
      </c>
    </row>
    <row r="387" spans="1:14" x14ac:dyDescent="0.35">
      <c r="A387" s="6" t="s">
        <v>1510</v>
      </c>
      <c r="B387" s="7">
        <v>45230</v>
      </c>
      <c r="C387" s="6" t="s">
        <v>1511</v>
      </c>
      <c r="D387" s="6" t="s">
        <v>41</v>
      </c>
      <c r="E387">
        <v>5</v>
      </c>
      <c r="F387">
        <v>191.63</v>
      </c>
      <c r="G387" s="6" t="s">
        <v>293</v>
      </c>
      <c r="H387" s="6" t="s">
        <v>60</v>
      </c>
      <c r="I387" s="6" t="s">
        <v>50</v>
      </c>
      <c r="J387" s="6" t="s">
        <v>1512</v>
      </c>
      <c r="K387">
        <v>6</v>
      </c>
      <c r="L387" s="6" t="s">
        <v>37</v>
      </c>
      <c r="M387" s="6" t="s">
        <v>45</v>
      </c>
      <c r="N387">
        <v>958.15</v>
      </c>
    </row>
    <row r="388" spans="1:14" x14ac:dyDescent="0.35">
      <c r="A388" s="6" t="s">
        <v>1513</v>
      </c>
      <c r="B388" s="7">
        <v>45044</v>
      </c>
      <c r="C388" s="6" t="s">
        <v>1514</v>
      </c>
      <c r="D388" s="6" t="s">
        <v>32</v>
      </c>
      <c r="E388">
        <v>1</v>
      </c>
      <c r="F388">
        <v>93.02</v>
      </c>
      <c r="G388" s="6" t="s">
        <v>1515</v>
      </c>
      <c r="H388" s="6" t="s">
        <v>27</v>
      </c>
      <c r="I388" s="6" t="s">
        <v>43</v>
      </c>
      <c r="J388" s="6" t="s">
        <v>1516</v>
      </c>
      <c r="K388">
        <v>4</v>
      </c>
      <c r="L388" s="6" t="s">
        <v>4283</v>
      </c>
      <c r="M388" s="6" t="s">
        <v>38</v>
      </c>
      <c r="N388">
        <v>93.02</v>
      </c>
    </row>
    <row r="389" spans="1:14" x14ac:dyDescent="0.35">
      <c r="A389" s="6" t="s">
        <v>1517</v>
      </c>
      <c r="B389" s="7">
        <v>45470</v>
      </c>
      <c r="C389" s="6" t="s">
        <v>1518</v>
      </c>
      <c r="D389" s="6" t="s">
        <v>48</v>
      </c>
      <c r="E389">
        <v>2</v>
      </c>
      <c r="F389">
        <v>39.53</v>
      </c>
      <c r="G389" s="6" t="s">
        <v>69</v>
      </c>
      <c r="H389" s="6" t="s">
        <v>34</v>
      </c>
      <c r="I389" s="6" t="s">
        <v>19</v>
      </c>
      <c r="J389" s="6" t="s">
        <v>1519</v>
      </c>
      <c r="K389">
        <v>3</v>
      </c>
      <c r="L389" s="6" t="s">
        <v>81</v>
      </c>
      <c r="M389" s="6" t="s">
        <v>76</v>
      </c>
      <c r="N389">
        <v>79.06</v>
      </c>
    </row>
    <row r="390" spans="1:14" x14ac:dyDescent="0.35">
      <c r="A390" s="6" t="s">
        <v>1520</v>
      </c>
      <c r="B390" s="7">
        <v>45288</v>
      </c>
      <c r="C390" s="6" t="s">
        <v>1521</v>
      </c>
      <c r="D390" s="6" t="s">
        <v>48</v>
      </c>
      <c r="E390">
        <v>3</v>
      </c>
      <c r="F390">
        <v>633.97</v>
      </c>
      <c r="G390" s="6" t="s">
        <v>438</v>
      </c>
      <c r="H390" s="6" t="s">
        <v>65</v>
      </c>
      <c r="I390" s="6" t="s">
        <v>89</v>
      </c>
      <c r="J390" s="6" t="s">
        <v>1522</v>
      </c>
      <c r="K390">
        <v>7</v>
      </c>
      <c r="L390" s="6" t="s">
        <v>81</v>
      </c>
      <c r="M390" s="6" t="s">
        <v>45</v>
      </c>
      <c r="N390">
        <v>1901.91</v>
      </c>
    </row>
    <row r="391" spans="1:14" x14ac:dyDescent="0.35">
      <c r="A391" s="6" t="s">
        <v>1523</v>
      </c>
      <c r="B391" s="7">
        <v>45277</v>
      </c>
      <c r="C391" s="6" t="s">
        <v>1524</v>
      </c>
      <c r="D391" s="6" t="s">
        <v>73</v>
      </c>
      <c r="E391">
        <v>4</v>
      </c>
      <c r="F391">
        <v>697.5</v>
      </c>
      <c r="G391" s="6" t="s">
        <v>1525</v>
      </c>
      <c r="H391" s="6" t="s">
        <v>65</v>
      </c>
      <c r="I391" s="6" t="s">
        <v>19</v>
      </c>
      <c r="J391" s="6" t="s">
        <v>1526</v>
      </c>
      <c r="K391">
        <v>7</v>
      </c>
      <c r="L391" s="6" t="s">
        <v>37</v>
      </c>
      <c r="M391" s="6" t="s">
        <v>29</v>
      </c>
      <c r="N391">
        <v>2790</v>
      </c>
    </row>
    <row r="392" spans="1:14" x14ac:dyDescent="0.35">
      <c r="A392" s="6" t="s">
        <v>1527</v>
      </c>
      <c r="B392" s="7">
        <v>45121</v>
      </c>
      <c r="C392" s="6" t="s">
        <v>1528</v>
      </c>
      <c r="D392" s="6" t="s">
        <v>48</v>
      </c>
      <c r="E392">
        <v>5</v>
      </c>
      <c r="F392">
        <v>508.69</v>
      </c>
      <c r="G392" s="6" t="s">
        <v>1376</v>
      </c>
      <c r="H392" s="6" t="s">
        <v>65</v>
      </c>
      <c r="I392" s="6" t="s">
        <v>50</v>
      </c>
      <c r="J392" s="6" t="s">
        <v>1529</v>
      </c>
      <c r="K392">
        <v>10</v>
      </c>
      <c r="L392" s="6" t="s">
        <v>37</v>
      </c>
      <c r="M392" s="6" t="s">
        <v>76</v>
      </c>
      <c r="N392">
        <v>2543.4499999999998</v>
      </c>
    </row>
    <row r="393" spans="1:14" x14ac:dyDescent="0.35">
      <c r="A393" s="6" t="s">
        <v>1530</v>
      </c>
      <c r="B393" s="7">
        <v>45673</v>
      </c>
      <c r="C393" s="6" t="s">
        <v>1531</v>
      </c>
      <c r="D393" s="6" t="s">
        <v>58</v>
      </c>
      <c r="E393">
        <v>2</v>
      </c>
      <c r="F393">
        <v>527.46</v>
      </c>
      <c r="G393" s="6" t="s">
        <v>1137</v>
      </c>
      <c r="H393" s="6" t="s">
        <v>18</v>
      </c>
      <c r="I393" s="6" t="s">
        <v>35</v>
      </c>
      <c r="J393" s="6" t="s">
        <v>1532</v>
      </c>
      <c r="K393">
        <v>3</v>
      </c>
      <c r="L393" s="6" t="s">
        <v>37</v>
      </c>
      <c r="M393" s="6" t="s">
        <v>29</v>
      </c>
      <c r="N393">
        <v>1054.92</v>
      </c>
    </row>
    <row r="394" spans="1:14" x14ac:dyDescent="0.35">
      <c r="A394" s="6" t="s">
        <v>1533</v>
      </c>
      <c r="B394" s="7">
        <v>45350</v>
      </c>
      <c r="C394" s="6" t="s">
        <v>1534</v>
      </c>
      <c r="D394" s="6" t="s">
        <v>25</v>
      </c>
      <c r="E394">
        <v>1</v>
      </c>
      <c r="F394">
        <v>627.20000000000005</v>
      </c>
      <c r="G394" s="6" t="s">
        <v>1427</v>
      </c>
      <c r="H394" s="6" t="s">
        <v>27</v>
      </c>
      <c r="I394" s="6" t="s">
        <v>50</v>
      </c>
      <c r="J394" s="6" t="s">
        <v>1535</v>
      </c>
      <c r="K394">
        <v>1</v>
      </c>
      <c r="L394" s="6" t="s">
        <v>81</v>
      </c>
      <c r="M394" s="6" t="s">
        <v>38</v>
      </c>
      <c r="N394">
        <v>627.20000000000005</v>
      </c>
    </row>
    <row r="395" spans="1:14" x14ac:dyDescent="0.35">
      <c r="A395" s="6" t="s">
        <v>1536</v>
      </c>
      <c r="B395" s="7">
        <v>45487</v>
      </c>
      <c r="C395" s="6" t="s">
        <v>1537</v>
      </c>
      <c r="D395" s="6" t="s">
        <v>48</v>
      </c>
      <c r="E395">
        <v>1</v>
      </c>
      <c r="F395">
        <v>75.010000000000005</v>
      </c>
      <c r="G395" s="6" t="s">
        <v>1538</v>
      </c>
      <c r="H395" s="6" t="s">
        <v>34</v>
      </c>
      <c r="I395" s="6" t="s">
        <v>43</v>
      </c>
      <c r="J395" s="6" t="s">
        <v>1539</v>
      </c>
      <c r="K395">
        <v>3</v>
      </c>
      <c r="L395" s="6" t="s">
        <v>4283</v>
      </c>
      <c r="M395" s="6" t="s">
        <v>76</v>
      </c>
      <c r="N395">
        <v>75.010000000000005</v>
      </c>
    </row>
    <row r="396" spans="1:14" x14ac:dyDescent="0.35">
      <c r="A396" s="6" t="s">
        <v>1540</v>
      </c>
      <c r="B396" s="7">
        <v>45112</v>
      </c>
      <c r="C396" s="6" t="s">
        <v>1541</v>
      </c>
      <c r="D396" s="6" t="s">
        <v>73</v>
      </c>
      <c r="E396">
        <v>5</v>
      </c>
      <c r="F396">
        <v>529.54999999999995</v>
      </c>
      <c r="G396" s="6" t="s">
        <v>1542</v>
      </c>
      <c r="H396" s="6" t="s">
        <v>60</v>
      </c>
      <c r="I396" s="6" t="s">
        <v>19</v>
      </c>
      <c r="J396" s="6" t="s">
        <v>1543</v>
      </c>
      <c r="K396">
        <v>10</v>
      </c>
      <c r="L396" s="6" t="s">
        <v>4283</v>
      </c>
      <c r="M396" s="6" t="s">
        <v>45</v>
      </c>
      <c r="N396">
        <v>2647.75</v>
      </c>
    </row>
    <row r="397" spans="1:14" x14ac:dyDescent="0.35">
      <c r="A397" s="6" t="s">
        <v>1544</v>
      </c>
      <c r="B397" s="7">
        <v>45772</v>
      </c>
      <c r="C397" s="6" t="s">
        <v>1545</v>
      </c>
      <c r="D397" s="6" t="s">
        <v>25</v>
      </c>
      <c r="E397">
        <v>3</v>
      </c>
      <c r="F397">
        <v>127.41</v>
      </c>
      <c r="G397" s="6" t="s">
        <v>169</v>
      </c>
      <c r="H397" s="6" t="s">
        <v>60</v>
      </c>
      <c r="I397" s="6" t="s">
        <v>50</v>
      </c>
      <c r="J397" s="6" t="s">
        <v>1546</v>
      </c>
      <c r="K397">
        <v>7</v>
      </c>
      <c r="L397" s="6" t="s">
        <v>21</v>
      </c>
      <c r="M397" s="6" t="s">
        <v>29</v>
      </c>
      <c r="N397">
        <v>382.23</v>
      </c>
    </row>
    <row r="398" spans="1:14" x14ac:dyDescent="0.35">
      <c r="A398" s="6" t="s">
        <v>1547</v>
      </c>
      <c r="B398" s="7">
        <v>45261</v>
      </c>
      <c r="C398" s="6" t="s">
        <v>1548</v>
      </c>
      <c r="D398" s="6" t="s">
        <v>32</v>
      </c>
      <c r="E398">
        <v>5</v>
      </c>
      <c r="F398">
        <v>287.13</v>
      </c>
      <c r="G398" s="6" t="s">
        <v>1549</v>
      </c>
      <c r="H398" s="6" t="s">
        <v>27</v>
      </c>
      <c r="I398" s="6" t="s">
        <v>19</v>
      </c>
      <c r="J398" s="6" t="s">
        <v>1550</v>
      </c>
      <c r="K398">
        <v>10</v>
      </c>
      <c r="L398" s="6" t="s">
        <v>21</v>
      </c>
      <c r="M398" s="6" t="s">
        <v>38</v>
      </c>
      <c r="N398">
        <v>1435.65</v>
      </c>
    </row>
    <row r="399" spans="1:14" x14ac:dyDescent="0.35">
      <c r="A399" s="6" t="s">
        <v>1551</v>
      </c>
      <c r="B399" s="7">
        <v>45197</v>
      </c>
      <c r="C399" s="6" t="s">
        <v>1552</v>
      </c>
      <c r="D399" s="6" t="s">
        <v>16</v>
      </c>
      <c r="E399">
        <v>1</v>
      </c>
      <c r="F399">
        <v>427.06</v>
      </c>
      <c r="G399" s="6" t="s">
        <v>1553</v>
      </c>
      <c r="H399" s="6" t="s">
        <v>27</v>
      </c>
      <c r="I399" s="6" t="s">
        <v>35</v>
      </c>
      <c r="J399" s="6" t="s">
        <v>1554</v>
      </c>
      <c r="K399">
        <v>1</v>
      </c>
      <c r="L399" s="6" t="s">
        <v>81</v>
      </c>
      <c r="M399" s="6" t="s">
        <v>29</v>
      </c>
      <c r="N399">
        <v>427.06</v>
      </c>
    </row>
    <row r="400" spans="1:14" x14ac:dyDescent="0.35">
      <c r="A400" s="6" t="s">
        <v>1555</v>
      </c>
      <c r="B400" s="7">
        <v>45539</v>
      </c>
      <c r="C400" s="6" t="s">
        <v>1556</v>
      </c>
      <c r="D400" s="6" t="s">
        <v>25</v>
      </c>
      <c r="E400">
        <v>5</v>
      </c>
      <c r="F400">
        <v>53.93</v>
      </c>
      <c r="G400" s="6" t="s">
        <v>841</v>
      </c>
      <c r="H400" s="6" t="s">
        <v>60</v>
      </c>
      <c r="I400" s="6" t="s">
        <v>19</v>
      </c>
      <c r="J400" s="6" t="s">
        <v>1557</v>
      </c>
      <c r="K400">
        <v>7</v>
      </c>
      <c r="L400" s="6" t="s">
        <v>21</v>
      </c>
      <c r="M400" s="6" t="s">
        <v>22</v>
      </c>
      <c r="N400">
        <v>269.64999999999998</v>
      </c>
    </row>
    <row r="401" spans="1:14" x14ac:dyDescent="0.35">
      <c r="A401" s="6" t="s">
        <v>1558</v>
      </c>
      <c r="B401" s="7">
        <v>45298</v>
      </c>
      <c r="C401" s="6" t="s">
        <v>1559</v>
      </c>
      <c r="D401" s="6" t="s">
        <v>32</v>
      </c>
      <c r="E401">
        <v>5</v>
      </c>
      <c r="F401">
        <v>423.93</v>
      </c>
      <c r="G401" s="6" t="s">
        <v>1560</v>
      </c>
      <c r="H401" s="6" t="s">
        <v>18</v>
      </c>
      <c r="I401" s="6" t="s">
        <v>43</v>
      </c>
      <c r="J401" s="6" t="s">
        <v>1561</v>
      </c>
      <c r="K401">
        <v>5</v>
      </c>
      <c r="L401" s="6" t="s">
        <v>37</v>
      </c>
      <c r="M401" s="6" t="s">
        <v>45</v>
      </c>
      <c r="N401">
        <v>2119.65</v>
      </c>
    </row>
    <row r="402" spans="1:14" x14ac:dyDescent="0.35">
      <c r="A402" s="6" t="s">
        <v>1562</v>
      </c>
      <c r="B402" s="7">
        <v>45563</v>
      </c>
      <c r="C402" s="6" t="s">
        <v>1563</v>
      </c>
      <c r="D402" s="6" t="s">
        <v>73</v>
      </c>
      <c r="E402">
        <v>4</v>
      </c>
      <c r="F402">
        <v>160.22</v>
      </c>
      <c r="G402" s="6" t="s">
        <v>1564</v>
      </c>
      <c r="H402" s="6" t="s">
        <v>18</v>
      </c>
      <c r="I402" s="6" t="s">
        <v>43</v>
      </c>
      <c r="J402" s="6" t="s">
        <v>1565</v>
      </c>
      <c r="K402">
        <v>9</v>
      </c>
      <c r="L402" s="6" t="s">
        <v>81</v>
      </c>
      <c r="M402" s="6" t="s">
        <v>22</v>
      </c>
      <c r="N402">
        <v>640.88</v>
      </c>
    </row>
    <row r="403" spans="1:14" x14ac:dyDescent="0.35">
      <c r="A403" s="6" t="s">
        <v>1566</v>
      </c>
      <c r="B403" s="7">
        <v>45756</v>
      </c>
      <c r="C403" s="6" t="s">
        <v>1567</v>
      </c>
      <c r="D403" s="6" t="s">
        <v>48</v>
      </c>
      <c r="E403">
        <v>1</v>
      </c>
      <c r="F403">
        <v>538.67999999999995</v>
      </c>
      <c r="G403" s="6" t="s">
        <v>1427</v>
      </c>
      <c r="H403" s="6" t="s">
        <v>18</v>
      </c>
      <c r="I403" s="6" t="s">
        <v>43</v>
      </c>
      <c r="J403" s="6" t="s">
        <v>1568</v>
      </c>
      <c r="K403">
        <v>6</v>
      </c>
      <c r="L403" s="6" t="s">
        <v>4283</v>
      </c>
      <c r="M403" s="6" t="s">
        <v>29</v>
      </c>
      <c r="N403">
        <v>538.67999999999995</v>
      </c>
    </row>
    <row r="404" spans="1:14" x14ac:dyDescent="0.35">
      <c r="A404" s="6" t="s">
        <v>1569</v>
      </c>
      <c r="B404" s="7">
        <v>45025</v>
      </c>
      <c r="C404" s="6" t="s">
        <v>1570</v>
      </c>
      <c r="D404" s="6" t="s">
        <v>48</v>
      </c>
      <c r="E404">
        <v>5</v>
      </c>
      <c r="F404">
        <v>337.38</v>
      </c>
      <c r="G404" s="6" t="s">
        <v>1571</v>
      </c>
      <c r="H404" s="6" t="s">
        <v>60</v>
      </c>
      <c r="I404" s="6" t="s">
        <v>19</v>
      </c>
      <c r="J404" s="6" t="s">
        <v>1572</v>
      </c>
      <c r="K404">
        <v>5</v>
      </c>
      <c r="L404" s="6" t="s">
        <v>4283</v>
      </c>
      <c r="M404" s="6" t="s">
        <v>29</v>
      </c>
      <c r="N404">
        <v>1686.9</v>
      </c>
    </row>
    <row r="405" spans="1:14" x14ac:dyDescent="0.35">
      <c r="A405" s="6" t="s">
        <v>1573</v>
      </c>
      <c r="B405" s="7">
        <v>45606</v>
      </c>
      <c r="C405" s="6" t="s">
        <v>1574</v>
      </c>
      <c r="D405" s="6" t="s">
        <v>32</v>
      </c>
      <c r="E405">
        <v>1</v>
      </c>
      <c r="F405">
        <v>620.21</v>
      </c>
      <c r="G405" s="6" t="s">
        <v>1121</v>
      </c>
      <c r="H405" s="6" t="s">
        <v>27</v>
      </c>
      <c r="I405" s="6" t="s">
        <v>43</v>
      </c>
      <c r="J405" s="6" t="s">
        <v>1575</v>
      </c>
      <c r="K405">
        <v>1</v>
      </c>
      <c r="L405" s="6" t="s">
        <v>37</v>
      </c>
      <c r="M405" s="6" t="s">
        <v>29</v>
      </c>
      <c r="N405">
        <v>620.21</v>
      </c>
    </row>
    <row r="406" spans="1:14" x14ac:dyDescent="0.35">
      <c r="A406" s="6" t="s">
        <v>1576</v>
      </c>
      <c r="B406" s="7">
        <v>44994</v>
      </c>
      <c r="C406" s="6" t="s">
        <v>1577</v>
      </c>
      <c r="D406" s="6" t="s">
        <v>16</v>
      </c>
      <c r="E406">
        <v>2</v>
      </c>
      <c r="F406">
        <v>99.1</v>
      </c>
      <c r="G406" s="6" t="s">
        <v>305</v>
      </c>
      <c r="H406" s="6" t="s">
        <v>65</v>
      </c>
      <c r="I406" s="6" t="s">
        <v>50</v>
      </c>
      <c r="J406" s="6" t="s">
        <v>1578</v>
      </c>
      <c r="K406">
        <v>6</v>
      </c>
      <c r="L406" s="6" t="s">
        <v>4283</v>
      </c>
      <c r="M406" s="6" t="s">
        <v>22</v>
      </c>
      <c r="N406">
        <v>198.2</v>
      </c>
    </row>
    <row r="407" spans="1:14" x14ac:dyDescent="0.35">
      <c r="A407" s="6" t="s">
        <v>1579</v>
      </c>
      <c r="B407" s="7">
        <v>45683</v>
      </c>
      <c r="C407" s="6" t="s">
        <v>1580</v>
      </c>
      <c r="D407" s="6" t="s">
        <v>16</v>
      </c>
      <c r="E407">
        <v>4</v>
      </c>
      <c r="F407">
        <v>451.97</v>
      </c>
      <c r="G407" s="6" t="s">
        <v>1444</v>
      </c>
      <c r="H407" s="6" t="s">
        <v>27</v>
      </c>
      <c r="I407" s="6" t="s">
        <v>35</v>
      </c>
      <c r="J407" s="6" t="s">
        <v>1581</v>
      </c>
      <c r="K407">
        <v>7</v>
      </c>
      <c r="L407" s="6" t="s">
        <v>81</v>
      </c>
      <c r="M407" s="6" t="s">
        <v>38</v>
      </c>
      <c r="N407">
        <v>1807.88</v>
      </c>
    </row>
    <row r="408" spans="1:14" x14ac:dyDescent="0.35">
      <c r="A408" s="6" t="s">
        <v>1582</v>
      </c>
      <c r="B408" s="7">
        <v>45270</v>
      </c>
      <c r="C408" s="6" t="s">
        <v>1583</v>
      </c>
      <c r="D408" s="6" t="s">
        <v>32</v>
      </c>
      <c r="E408">
        <v>4</v>
      </c>
      <c r="F408">
        <v>66.099999999999994</v>
      </c>
      <c r="G408" s="6" t="s">
        <v>763</v>
      </c>
      <c r="H408" s="6" t="s">
        <v>65</v>
      </c>
      <c r="I408" s="6" t="s">
        <v>43</v>
      </c>
      <c r="J408" s="6" t="s">
        <v>1584</v>
      </c>
      <c r="K408">
        <v>9</v>
      </c>
      <c r="L408" s="6" t="s">
        <v>81</v>
      </c>
      <c r="M408" s="6" t="s">
        <v>76</v>
      </c>
      <c r="N408">
        <v>264.39999999999998</v>
      </c>
    </row>
    <row r="409" spans="1:14" x14ac:dyDescent="0.35">
      <c r="A409" s="6" t="s">
        <v>1585</v>
      </c>
      <c r="B409" s="7">
        <v>45151</v>
      </c>
      <c r="C409" s="6" t="s">
        <v>1586</v>
      </c>
      <c r="D409" s="6" t="s">
        <v>32</v>
      </c>
      <c r="E409">
        <v>4</v>
      </c>
      <c r="F409">
        <v>547.32000000000005</v>
      </c>
      <c r="G409" s="6" t="s">
        <v>1054</v>
      </c>
      <c r="H409" s="6" t="s">
        <v>65</v>
      </c>
      <c r="I409" s="6" t="s">
        <v>43</v>
      </c>
      <c r="J409" s="6" t="s">
        <v>1587</v>
      </c>
      <c r="K409">
        <v>8</v>
      </c>
      <c r="L409" s="6" t="s">
        <v>37</v>
      </c>
      <c r="M409" s="6" t="s">
        <v>22</v>
      </c>
      <c r="N409">
        <v>2189.2800000000002</v>
      </c>
    </row>
    <row r="410" spans="1:14" x14ac:dyDescent="0.35">
      <c r="A410" s="6" t="s">
        <v>1588</v>
      </c>
      <c r="B410" s="7">
        <v>45658</v>
      </c>
      <c r="C410" s="6" t="s">
        <v>1589</v>
      </c>
      <c r="D410" s="6" t="s">
        <v>48</v>
      </c>
      <c r="E410">
        <v>3</v>
      </c>
      <c r="F410">
        <v>412.53</v>
      </c>
      <c r="G410" s="6" t="s">
        <v>1590</v>
      </c>
      <c r="H410" s="6" t="s">
        <v>27</v>
      </c>
      <c r="I410" s="6" t="s">
        <v>89</v>
      </c>
      <c r="J410" s="6" t="s">
        <v>1591</v>
      </c>
      <c r="K410">
        <v>6</v>
      </c>
      <c r="L410" s="6" t="s">
        <v>81</v>
      </c>
      <c r="M410" s="6" t="s">
        <v>76</v>
      </c>
      <c r="N410">
        <v>1237.5899999999999</v>
      </c>
    </row>
    <row r="411" spans="1:14" x14ac:dyDescent="0.35">
      <c r="A411" s="6" t="s">
        <v>1592</v>
      </c>
      <c r="B411" s="7">
        <v>45105</v>
      </c>
      <c r="C411" s="6" t="s">
        <v>1593</v>
      </c>
      <c r="D411" s="6" t="s">
        <v>73</v>
      </c>
      <c r="E411">
        <v>5</v>
      </c>
      <c r="F411">
        <v>84.13</v>
      </c>
      <c r="G411" s="6" t="s">
        <v>1594</v>
      </c>
      <c r="H411" s="6" t="s">
        <v>27</v>
      </c>
      <c r="I411" s="6" t="s">
        <v>50</v>
      </c>
      <c r="J411" s="6" t="s">
        <v>1595</v>
      </c>
      <c r="K411">
        <v>9</v>
      </c>
      <c r="L411" s="6" t="s">
        <v>21</v>
      </c>
      <c r="M411" s="6" t="s">
        <v>76</v>
      </c>
      <c r="N411">
        <v>420.65</v>
      </c>
    </row>
    <row r="412" spans="1:14" x14ac:dyDescent="0.35">
      <c r="A412" s="6" t="s">
        <v>1596</v>
      </c>
      <c r="B412" s="7">
        <v>45309</v>
      </c>
      <c r="C412" s="6" t="s">
        <v>1597</v>
      </c>
      <c r="D412" s="6" t="s">
        <v>32</v>
      </c>
      <c r="E412">
        <v>2</v>
      </c>
      <c r="F412">
        <v>518.23</v>
      </c>
      <c r="G412" s="6" t="s">
        <v>1598</v>
      </c>
      <c r="H412" s="6" t="s">
        <v>18</v>
      </c>
      <c r="I412" s="6" t="s">
        <v>19</v>
      </c>
      <c r="J412" s="6" t="s">
        <v>1599</v>
      </c>
      <c r="K412">
        <v>5</v>
      </c>
      <c r="L412" s="6" t="s">
        <v>4283</v>
      </c>
      <c r="M412" s="6" t="s">
        <v>38</v>
      </c>
      <c r="N412">
        <v>1036.46</v>
      </c>
    </row>
    <row r="413" spans="1:14" x14ac:dyDescent="0.35">
      <c r="A413" s="6" t="s">
        <v>1600</v>
      </c>
      <c r="B413" s="7">
        <v>45462</v>
      </c>
      <c r="C413" s="6" t="s">
        <v>1601</v>
      </c>
      <c r="D413" s="6" t="s">
        <v>73</v>
      </c>
      <c r="E413">
        <v>2</v>
      </c>
      <c r="F413">
        <v>39.51</v>
      </c>
      <c r="G413" s="6" t="s">
        <v>630</v>
      </c>
      <c r="H413" s="6" t="s">
        <v>27</v>
      </c>
      <c r="I413" s="6" t="s">
        <v>19</v>
      </c>
      <c r="J413" s="6" t="s">
        <v>1602</v>
      </c>
      <c r="K413">
        <v>5</v>
      </c>
      <c r="L413" s="6" t="s">
        <v>4283</v>
      </c>
      <c r="M413" s="6" t="s">
        <v>45</v>
      </c>
      <c r="N413">
        <v>79.02</v>
      </c>
    </row>
    <row r="414" spans="1:14" x14ac:dyDescent="0.35">
      <c r="A414" s="6" t="s">
        <v>1603</v>
      </c>
      <c r="B414" s="7">
        <v>45758</v>
      </c>
      <c r="C414" s="6" t="s">
        <v>1604</v>
      </c>
      <c r="D414" s="6" t="s">
        <v>32</v>
      </c>
      <c r="E414">
        <v>5</v>
      </c>
      <c r="F414">
        <v>133.01</v>
      </c>
      <c r="G414" s="6" t="s">
        <v>1605</v>
      </c>
      <c r="H414" s="6" t="s">
        <v>34</v>
      </c>
      <c r="I414" s="6" t="s">
        <v>43</v>
      </c>
      <c r="J414" s="6" t="s">
        <v>1606</v>
      </c>
      <c r="K414">
        <v>10</v>
      </c>
      <c r="L414" s="6" t="s">
        <v>4283</v>
      </c>
      <c r="M414" s="6" t="s">
        <v>45</v>
      </c>
      <c r="N414">
        <v>665.05</v>
      </c>
    </row>
    <row r="415" spans="1:14" x14ac:dyDescent="0.35">
      <c r="A415" s="6" t="s">
        <v>1607</v>
      </c>
      <c r="B415" s="7">
        <v>45207</v>
      </c>
      <c r="C415" s="6" t="s">
        <v>1608</v>
      </c>
      <c r="D415" s="6" t="s">
        <v>32</v>
      </c>
      <c r="E415">
        <v>1</v>
      </c>
      <c r="F415">
        <v>118.8</v>
      </c>
      <c r="G415" s="6" t="s">
        <v>1609</v>
      </c>
      <c r="H415" s="6" t="s">
        <v>27</v>
      </c>
      <c r="I415" s="6" t="s">
        <v>50</v>
      </c>
      <c r="J415" s="6" t="s">
        <v>1610</v>
      </c>
      <c r="K415">
        <v>6</v>
      </c>
      <c r="L415" s="6" t="s">
        <v>21</v>
      </c>
      <c r="M415" s="6" t="s">
        <v>38</v>
      </c>
      <c r="N415">
        <v>118.8</v>
      </c>
    </row>
    <row r="416" spans="1:14" x14ac:dyDescent="0.35">
      <c r="A416" s="6" t="s">
        <v>1611</v>
      </c>
      <c r="B416" s="7">
        <v>45781</v>
      </c>
      <c r="C416" s="6" t="s">
        <v>1612</v>
      </c>
      <c r="D416" s="6" t="s">
        <v>73</v>
      </c>
      <c r="E416">
        <v>2</v>
      </c>
      <c r="F416">
        <v>139.57</v>
      </c>
      <c r="G416" s="6" t="s">
        <v>1613</v>
      </c>
      <c r="H416" s="6" t="s">
        <v>65</v>
      </c>
      <c r="I416" s="6" t="s">
        <v>50</v>
      </c>
      <c r="J416" s="6" t="s">
        <v>1614</v>
      </c>
      <c r="K416">
        <v>4</v>
      </c>
      <c r="L416" s="6" t="s">
        <v>81</v>
      </c>
      <c r="M416" s="6" t="s">
        <v>45</v>
      </c>
      <c r="N416">
        <v>279.14</v>
      </c>
    </row>
    <row r="417" spans="1:14" x14ac:dyDescent="0.35">
      <c r="A417" s="6" t="s">
        <v>1615</v>
      </c>
      <c r="B417" s="7">
        <v>45753</v>
      </c>
      <c r="C417" s="6" t="s">
        <v>1616</v>
      </c>
      <c r="D417" s="6" t="s">
        <v>41</v>
      </c>
      <c r="E417">
        <v>1</v>
      </c>
      <c r="F417">
        <v>184.15</v>
      </c>
      <c r="G417" s="6" t="s">
        <v>1074</v>
      </c>
      <c r="H417" s="6" t="s">
        <v>60</v>
      </c>
      <c r="I417" s="6" t="s">
        <v>19</v>
      </c>
      <c r="J417" s="6" t="s">
        <v>1617</v>
      </c>
      <c r="K417">
        <v>5</v>
      </c>
      <c r="L417" s="6" t="s">
        <v>37</v>
      </c>
      <c r="M417" s="6" t="s">
        <v>45</v>
      </c>
      <c r="N417">
        <v>184.15</v>
      </c>
    </row>
    <row r="418" spans="1:14" x14ac:dyDescent="0.35">
      <c r="A418" s="6" t="s">
        <v>1618</v>
      </c>
      <c r="B418" s="7">
        <v>45125</v>
      </c>
      <c r="C418" s="6" t="s">
        <v>1619</v>
      </c>
      <c r="D418" s="6" t="s">
        <v>58</v>
      </c>
      <c r="E418">
        <v>2</v>
      </c>
      <c r="F418">
        <v>644.04999999999995</v>
      </c>
      <c r="G418" s="6" t="s">
        <v>1620</v>
      </c>
      <c r="H418" s="6" t="s">
        <v>60</v>
      </c>
      <c r="I418" s="6" t="s">
        <v>35</v>
      </c>
      <c r="J418" s="6" t="s">
        <v>1621</v>
      </c>
      <c r="K418">
        <v>5</v>
      </c>
      <c r="L418" s="6" t="s">
        <v>81</v>
      </c>
      <c r="M418" s="6" t="s">
        <v>29</v>
      </c>
      <c r="N418">
        <v>1288.0999999999999</v>
      </c>
    </row>
    <row r="419" spans="1:14" x14ac:dyDescent="0.35">
      <c r="A419" s="6" t="s">
        <v>1622</v>
      </c>
      <c r="B419" s="7">
        <v>45223</v>
      </c>
      <c r="C419" s="6" t="s">
        <v>1623</v>
      </c>
      <c r="D419" s="6" t="s">
        <v>58</v>
      </c>
      <c r="E419">
        <v>5</v>
      </c>
      <c r="F419">
        <v>55.41</v>
      </c>
      <c r="G419" s="6" t="s">
        <v>1624</v>
      </c>
      <c r="H419" s="6" t="s">
        <v>27</v>
      </c>
      <c r="I419" s="6" t="s">
        <v>35</v>
      </c>
      <c r="J419" s="6" t="s">
        <v>1625</v>
      </c>
      <c r="K419">
        <v>5</v>
      </c>
      <c r="L419" s="6" t="s">
        <v>4283</v>
      </c>
      <c r="M419" s="6" t="s">
        <v>76</v>
      </c>
      <c r="N419">
        <v>277.05</v>
      </c>
    </row>
    <row r="420" spans="1:14" x14ac:dyDescent="0.35">
      <c r="A420" s="6" t="s">
        <v>1626</v>
      </c>
      <c r="B420" s="7">
        <v>44937</v>
      </c>
      <c r="C420" s="6" t="s">
        <v>1627</v>
      </c>
      <c r="D420" s="6" t="s">
        <v>48</v>
      </c>
      <c r="E420">
        <v>1</v>
      </c>
      <c r="F420">
        <v>310.93</v>
      </c>
      <c r="G420" s="6" t="s">
        <v>1628</v>
      </c>
      <c r="H420" s="6" t="s">
        <v>27</v>
      </c>
      <c r="I420" s="6" t="s">
        <v>35</v>
      </c>
      <c r="J420" s="6" t="s">
        <v>1629</v>
      </c>
      <c r="K420">
        <v>3</v>
      </c>
      <c r="L420" s="6" t="s">
        <v>4283</v>
      </c>
      <c r="M420" s="6" t="s">
        <v>45</v>
      </c>
      <c r="N420">
        <v>310.93</v>
      </c>
    </row>
    <row r="421" spans="1:14" x14ac:dyDescent="0.35">
      <c r="A421" s="6" t="s">
        <v>1630</v>
      </c>
      <c r="B421" s="7">
        <v>45399</v>
      </c>
      <c r="C421" s="6" t="s">
        <v>1631</v>
      </c>
      <c r="D421" s="6" t="s">
        <v>32</v>
      </c>
      <c r="E421">
        <v>2</v>
      </c>
      <c r="F421">
        <v>216.66</v>
      </c>
      <c r="G421" s="6" t="s">
        <v>1376</v>
      </c>
      <c r="H421" s="6" t="s">
        <v>18</v>
      </c>
      <c r="I421" s="6" t="s">
        <v>89</v>
      </c>
      <c r="J421" s="6" t="s">
        <v>1632</v>
      </c>
      <c r="K421">
        <v>6</v>
      </c>
      <c r="L421" s="6" t="s">
        <v>37</v>
      </c>
      <c r="M421" s="6" t="s">
        <v>22</v>
      </c>
      <c r="N421">
        <v>433.32</v>
      </c>
    </row>
    <row r="422" spans="1:14" x14ac:dyDescent="0.35">
      <c r="A422" s="6" t="s">
        <v>1633</v>
      </c>
      <c r="B422" s="7">
        <v>45625</v>
      </c>
      <c r="C422" s="6" t="s">
        <v>1634</v>
      </c>
      <c r="D422" s="6" t="s">
        <v>25</v>
      </c>
      <c r="E422">
        <v>1</v>
      </c>
      <c r="F422">
        <v>452.7</v>
      </c>
      <c r="G422" s="6" t="s">
        <v>1635</v>
      </c>
      <c r="H422" s="6" t="s">
        <v>18</v>
      </c>
      <c r="I422" s="6" t="s">
        <v>19</v>
      </c>
      <c r="J422" s="6" t="s">
        <v>1636</v>
      </c>
      <c r="K422">
        <v>5</v>
      </c>
      <c r="L422" s="6" t="s">
        <v>37</v>
      </c>
      <c r="M422" s="6" t="s">
        <v>22</v>
      </c>
      <c r="N422">
        <v>452.7</v>
      </c>
    </row>
    <row r="423" spans="1:14" x14ac:dyDescent="0.35">
      <c r="A423" s="6" t="s">
        <v>1637</v>
      </c>
      <c r="B423" s="7">
        <v>45214</v>
      </c>
      <c r="C423" s="6" t="s">
        <v>1638</v>
      </c>
      <c r="D423" s="6" t="s">
        <v>41</v>
      </c>
      <c r="E423">
        <v>2</v>
      </c>
      <c r="F423">
        <v>288.20999999999998</v>
      </c>
      <c r="G423" s="6" t="s">
        <v>1639</v>
      </c>
      <c r="H423" s="6" t="s">
        <v>18</v>
      </c>
      <c r="I423" s="6" t="s">
        <v>35</v>
      </c>
      <c r="J423" s="6" t="s">
        <v>1640</v>
      </c>
      <c r="K423">
        <v>5</v>
      </c>
      <c r="L423" s="6" t="s">
        <v>4283</v>
      </c>
      <c r="M423" s="6" t="s">
        <v>38</v>
      </c>
      <c r="N423">
        <v>576.41999999999996</v>
      </c>
    </row>
    <row r="424" spans="1:14" x14ac:dyDescent="0.35">
      <c r="A424" s="6" t="s">
        <v>1641</v>
      </c>
      <c r="B424" s="7">
        <v>45082</v>
      </c>
      <c r="C424" s="6" t="s">
        <v>1642</v>
      </c>
      <c r="D424" s="6" t="s">
        <v>25</v>
      </c>
      <c r="E424">
        <v>4</v>
      </c>
      <c r="F424">
        <v>206.6</v>
      </c>
      <c r="G424" s="6" t="s">
        <v>105</v>
      </c>
      <c r="H424" s="6" t="s">
        <v>60</v>
      </c>
      <c r="I424" s="6" t="s">
        <v>43</v>
      </c>
      <c r="J424" s="6" t="s">
        <v>1643</v>
      </c>
      <c r="K424">
        <v>6</v>
      </c>
      <c r="L424" s="6" t="s">
        <v>81</v>
      </c>
      <c r="M424" s="6" t="s">
        <v>29</v>
      </c>
      <c r="N424">
        <v>826.4</v>
      </c>
    </row>
    <row r="425" spans="1:14" x14ac:dyDescent="0.35">
      <c r="A425" s="6" t="s">
        <v>1644</v>
      </c>
      <c r="B425" s="7">
        <v>45493</v>
      </c>
      <c r="C425" s="6" t="s">
        <v>1645</v>
      </c>
      <c r="D425" s="6" t="s">
        <v>48</v>
      </c>
      <c r="E425">
        <v>4</v>
      </c>
      <c r="F425">
        <v>685.2</v>
      </c>
      <c r="G425" s="6" t="s">
        <v>1125</v>
      </c>
      <c r="H425" s="6" t="s">
        <v>60</v>
      </c>
      <c r="I425" s="6" t="s">
        <v>35</v>
      </c>
      <c r="J425" s="6" t="s">
        <v>1646</v>
      </c>
      <c r="K425">
        <v>6</v>
      </c>
      <c r="L425" s="6" t="s">
        <v>81</v>
      </c>
      <c r="M425" s="6" t="s">
        <v>76</v>
      </c>
      <c r="N425">
        <v>2740.8</v>
      </c>
    </row>
    <row r="426" spans="1:14" x14ac:dyDescent="0.35">
      <c r="A426" s="6" t="s">
        <v>1647</v>
      </c>
      <c r="B426" s="7">
        <v>45028</v>
      </c>
      <c r="C426" s="6" t="s">
        <v>1648</v>
      </c>
      <c r="D426" s="6" t="s">
        <v>41</v>
      </c>
      <c r="E426">
        <v>5</v>
      </c>
      <c r="F426">
        <v>22.94</v>
      </c>
      <c r="G426" s="6" t="s">
        <v>1260</v>
      </c>
      <c r="H426" s="6" t="s">
        <v>65</v>
      </c>
      <c r="I426" s="6" t="s">
        <v>89</v>
      </c>
      <c r="J426" s="6" t="s">
        <v>1649</v>
      </c>
      <c r="K426">
        <v>10</v>
      </c>
      <c r="L426" s="6" t="s">
        <v>4283</v>
      </c>
      <c r="M426" s="6" t="s">
        <v>38</v>
      </c>
      <c r="N426">
        <v>114.7</v>
      </c>
    </row>
    <row r="427" spans="1:14" x14ac:dyDescent="0.35">
      <c r="A427" s="6" t="s">
        <v>1650</v>
      </c>
      <c r="B427" s="7">
        <v>44994</v>
      </c>
      <c r="C427" s="6" t="s">
        <v>1651</v>
      </c>
      <c r="D427" s="6" t="s">
        <v>58</v>
      </c>
      <c r="E427">
        <v>2</v>
      </c>
      <c r="F427">
        <v>301.88</v>
      </c>
      <c r="G427" s="6" t="s">
        <v>1652</v>
      </c>
      <c r="H427" s="6" t="s">
        <v>60</v>
      </c>
      <c r="I427" s="6" t="s">
        <v>43</v>
      </c>
      <c r="J427" s="6" t="s">
        <v>1653</v>
      </c>
      <c r="K427">
        <v>5</v>
      </c>
      <c r="L427" s="6" t="s">
        <v>81</v>
      </c>
      <c r="M427" s="6" t="s">
        <v>38</v>
      </c>
      <c r="N427">
        <v>603.76</v>
      </c>
    </row>
    <row r="428" spans="1:14" x14ac:dyDescent="0.35">
      <c r="A428" s="6" t="s">
        <v>1654</v>
      </c>
      <c r="B428" s="7">
        <v>45732</v>
      </c>
      <c r="C428" s="6" t="s">
        <v>1655</v>
      </c>
      <c r="D428" s="6" t="s">
        <v>16</v>
      </c>
      <c r="E428">
        <v>5</v>
      </c>
      <c r="F428">
        <v>57.45</v>
      </c>
      <c r="G428" s="6" t="s">
        <v>1656</v>
      </c>
      <c r="H428" s="6" t="s">
        <v>65</v>
      </c>
      <c r="I428" s="6" t="s">
        <v>35</v>
      </c>
      <c r="J428" s="6" t="s">
        <v>1657</v>
      </c>
      <c r="K428">
        <v>10</v>
      </c>
      <c r="L428" s="6" t="s">
        <v>4283</v>
      </c>
      <c r="M428" s="6" t="s">
        <v>45</v>
      </c>
      <c r="N428">
        <v>287.25</v>
      </c>
    </row>
    <row r="429" spans="1:14" x14ac:dyDescent="0.35">
      <c r="A429" s="6" t="s">
        <v>1658</v>
      </c>
      <c r="B429" s="7">
        <v>45644</v>
      </c>
      <c r="C429" s="6" t="s">
        <v>1659</v>
      </c>
      <c r="D429" s="6" t="s">
        <v>73</v>
      </c>
      <c r="E429">
        <v>1</v>
      </c>
      <c r="F429">
        <v>161.24</v>
      </c>
      <c r="G429" s="6" t="s">
        <v>1660</v>
      </c>
      <c r="H429" s="6" t="s">
        <v>34</v>
      </c>
      <c r="I429" s="6" t="s">
        <v>89</v>
      </c>
      <c r="J429" s="6" t="s">
        <v>1661</v>
      </c>
      <c r="K429">
        <v>3</v>
      </c>
      <c r="L429" s="6" t="s">
        <v>81</v>
      </c>
      <c r="M429" s="6" t="s">
        <v>22</v>
      </c>
      <c r="N429">
        <v>161.24</v>
      </c>
    </row>
    <row r="430" spans="1:14" x14ac:dyDescent="0.35">
      <c r="A430" s="6" t="s">
        <v>1662</v>
      </c>
      <c r="B430" s="7">
        <v>45622</v>
      </c>
      <c r="C430" s="6" t="s">
        <v>1663</v>
      </c>
      <c r="D430" s="6" t="s">
        <v>41</v>
      </c>
      <c r="E430">
        <v>4</v>
      </c>
      <c r="F430">
        <v>262.58</v>
      </c>
      <c r="G430" s="6" t="s">
        <v>161</v>
      </c>
      <c r="H430" s="6" t="s">
        <v>27</v>
      </c>
      <c r="I430" s="6" t="s">
        <v>35</v>
      </c>
      <c r="J430" s="6" t="s">
        <v>1664</v>
      </c>
      <c r="K430">
        <v>8</v>
      </c>
      <c r="L430" s="6" t="s">
        <v>81</v>
      </c>
      <c r="M430" s="6" t="s">
        <v>38</v>
      </c>
      <c r="N430">
        <v>1050.32</v>
      </c>
    </row>
    <row r="431" spans="1:14" x14ac:dyDescent="0.35">
      <c r="A431" s="6" t="s">
        <v>1665</v>
      </c>
      <c r="B431" s="7">
        <v>45645</v>
      </c>
      <c r="C431" s="6" t="s">
        <v>1666</v>
      </c>
      <c r="D431" s="6" t="s">
        <v>48</v>
      </c>
      <c r="E431">
        <v>4</v>
      </c>
      <c r="F431">
        <v>515.19000000000005</v>
      </c>
      <c r="G431" s="6" t="s">
        <v>466</v>
      </c>
      <c r="H431" s="6" t="s">
        <v>34</v>
      </c>
      <c r="I431" s="6" t="s">
        <v>89</v>
      </c>
      <c r="J431" s="6" t="s">
        <v>1667</v>
      </c>
      <c r="K431">
        <v>9</v>
      </c>
      <c r="L431" s="6" t="s">
        <v>21</v>
      </c>
      <c r="M431" s="6" t="s">
        <v>45</v>
      </c>
      <c r="N431">
        <v>2060.7600000000002</v>
      </c>
    </row>
    <row r="432" spans="1:14" x14ac:dyDescent="0.35">
      <c r="A432" s="6" t="s">
        <v>1668</v>
      </c>
      <c r="B432" s="7">
        <v>45084</v>
      </c>
      <c r="C432" s="6" t="s">
        <v>1669</v>
      </c>
      <c r="D432" s="6" t="s">
        <v>25</v>
      </c>
      <c r="E432">
        <v>1</v>
      </c>
      <c r="F432">
        <v>450.07</v>
      </c>
      <c r="G432" s="6" t="s">
        <v>1670</v>
      </c>
      <c r="H432" s="6" t="s">
        <v>60</v>
      </c>
      <c r="I432" s="6" t="s">
        <v>19</v>
      </c>
      <c r="J432" s="6" t="s">
        <v>1671</v>
      </c>
      <c r="K432">
        <v>6</v>
      </c>
      <c r="L432" s="6" t="s">
        <v>37</v>
      </c>
      <c r="M432" s="6" t="s">
        <v>76</v>
      </c>
      <c r="N432">
        <v>450.07</v>
      </c>
    </row>
    <row r="433" spans="1:14" x14ac:dyDescent="0.35">
      <c r="A433" s="6" t="s">
        <v>1672</v>
      </c>
      <c r="B433" s="7">
        <v>45571</v>
      </c>
      <c r="C433" s="6" t="s">
        <v>1673</v>
      </c>
      <c r="D433" s="6" t="s">
        <v>48</v>
      </c>
      <c r="E433">
        <v>1</v>
      </c>
      <c r="F433">
        <v>52.54</v>
      </c>
      <c r="G433" s="6" t="s">
        <v>652</v>
      </c>
      <c r="H433" s="6" t="s">
        <v>18</v>
      </c>
      <c r="I433" s="6" t="s">
        <v>35</v>
      </c>
      <c r="J433" s="6" t="s">
        <v>1674</v>
      </c>
      <c r="K433">
        <v>6</v>
      </c>
      <c r="L433" s="6" t="s">
        <v>81</v>
      </c>
      <c r="M433" s="6" t="s">
        <v>45</v>
      </c>
      <c r="N433">
        <v>52.54</v>
      </c>
    </row>
    <row r="434" spans="1:14" x14ac:dyDescent="0.35">
      <c r="A434" s="6" t="s">
        <v>1675</v>
      </c>
      <c r="B434" s="7">
        <v>45173</v>
      </c>
      <c r="C434" s="6" t="s">
        <v>1676</v>
      </c>
      <c r="D434" s="6" t="s">
        <v>32</v>
      </c>
      <c r="E434">
        <v>2</v>
      </c>
      <c r="F434">
        <v>424.32</v>
      </c>
      <c r="G434" s="6" t="s">
        <v>1677</v>
      </c>
      <c r="H434" s="6" t="s">
        <v>34</v>
      </c>
      <c r="I434" s="6" t="s">
        <v>43</v>
      </c>
      <c r="J434" s="6" t="s">
        <v>1678</v>
      </c>
      <c r="K434">
        <v>6</v>
      </c>
      <c r="L434" s="6" t="s">
        <v>4283</v>
      </c>
      <c r="M434" s="6" t="s">
        <v>29</v>
      </c>
      <c r="N434">
        <v>848.64</v>
      </c>
    </row>
    <row r="435" spans="1:14" x14ac:dyDescent="0.35">
      <c r="A435" s="6" t="s">
        <v>1679</v>
      </c>
      <c r="B435" s="7">
        <v>45164</v>
      </c>
      <c r="C435" s="6" t="s">
        <v>1680</v>
      </c>
      <c r="D435" s="6" t="s">
        <v>16</v>
      </c>
      <c r="E435">
        <v>3</v>
      </c>
      <c r="F435">
        <v>631.64</v>
      </c>
      <c r="G435" s="6" t="s">
        <v>996</v>
      </c>
      <c r="H435" s="6" t="s">
        <v>34</v>
      </c>
      <c r="I435" s="6" t="s">
        <v>43</v>
      </c>
      <c r="J435" s="6" t="s">
        <v>1681</v>
      </c>
      <c r="K435">
        <v>3</v>
      </c>
      <c r="L435" s="6" t="s">
        <v>37</v>
      </c>
      <c r="M435" s="6" t="s">
        <v>45</v>
      </c>
      <c r="N435">
        <v>1894.92</v>
      </c>
    </row>
    <row r="436" spans="1:14" x14ac:dyDescent="0.35">
      <c r="A436" s="6" t="s">
        <v>1682</v>
      </c>
      <c r="B436" s="7">
        <v>45221</v>
      </c>
      <c r="C436" s="6" t="s">
        <v>1683</v>
      </c>
      <c r="D436" s="6" t="s">
        <v>48</v>
      </c>
      <c r="E436">
        <v>5</v>
      </c>
      <c r="F436">
        <v>327.68</v>
      </c>
      <c r="G436" s="6" t="s">
        <v>316</v>
      </c>
      <c r="H436" s="6" t="s">
        <v>34</v>
      </c>
      <c r="I436" s="6" t="s">
        <v>43</v>
      </c>
      <c r="J436" s="6" t="s">
        <v>1684</v>
      </c>
      <c r="K436">
        <v>6</v>
      </c>
      <c r="L436" s="6" t="s">
        <v>4283</v>
      </c>
      <c r="M436" s="6" t="s">
        <v>45</v>
      </c>
      <c r="N436">
        <v>1638.4</v>
      </c>
    </row>
    <row r="437" spans="1:14" x14ac:dyDescent="0.35">
      <c r="A437" s="6" t="s">
        <v>1685</v>
      </c>
      <c r="B437" s="7">
        <v>45073</v>
      </c>
      <c r="C437" s="6" t="s">
        <v>1686</v>
      </c>
      <c r="D437" s="6" t="s">
        <v>48</v>
      </c>
      <c r="E437">
        <v>1</v>
      </c>
      <c r="F437">
        <v>414.47</v>
      </c>
      <c r="G437" s="6" t="s">
        <v>1256</v>
      </c>
      <c r="H437" s="6" t="s">
        <v>18</v>
      </c>
      <c r="I437" s="6" t="s">
        <v>43</v>
      </c>
      <c r="J437" s="6" t="s">
        <v>1687</v>
      </c>
      <c r="K437">
        <v>3</v>
      </c>
      <c r="L437" s="6" t="s">
        <v>37</v>
      </c>
      <c r="M437" s="6" t="s">
        <v>22</v>
      </c>
      <c r="N437">
        <v>414.47</v>
      </c>
    </row>
    <row r="438" spans="1:14" x14ac:dyDescent="0.35">
      <c r="A438" s="6" t="s">
        <v>1688</v>
      </c>
      <c r="B438" s="7">
        <v>44968</v>
      </c>
      <c r="C438" s="6" t="s">
        <v>1689</v>
      </c>
      <c r="D438" s="6" t="s">
        <v>58</v>
      </c>
      <c r="E438">
        <v>4</v>
      </c>
      <c r="F438">
        <v>221.33</v>
      </c>
      <c r="G438" s="6" t="s">
        <v>652</v>
      </c>
      <c r="H438" s="6" t="s">
        <v>27</v>
      </c>
      <c r="I438" s="6" t="s">
        <v>89</v>
      </c>
      <c r="J438" s="6" t="s">
        <v>1690</v>
      </c>
      <c r="K438">
        <v>5</v>
      </c>
      <c r="L438" s="6" t="s">
        <v>4283</v>
      </c>
      <c r="M438" s="6" t="s">
        <v>76</v>
      </c>
      <c r="N438">
        <v>885.32</v>
      </c>
    </row>
    <row r="439" spans="1:14" x14ac:dyDescent="0.35">
      <c r="A439" s="6" t="s">
        <v>1691</v>
      </c>
      <c r="B439" s="7">
        <v>45400</v>
      </c>
      <c r="C439" s="6" t="s">
        <v>1692</v>
      </c>
      <c r="D439" s="6" t="s">
        <v>25</v>
      </c>
      <c r="E439">
        <v>1</v>
      </c>
      <c r="F439">
        <v>512.39</v>
      </c>
      <c r="G439" s="6" t="s">
        <v>1693</v>
      </c>
      <c r="H439" s="6" t="s">
        <v>27</v>
      </c>
      <c r="I439" s="6" t="s">
        <v>50</v>
      </c>
      <c r="J439" s="6" t="s">
        <v>1694</v>
      </c>
      <c r="K439">
        <v>2</v>
      </c>
      <c r="L439" s="6" t="s">
        <v>37</v>
      </c>
      <c r="M439" s="6" t="s">
        <v>22</v>
      </c>
      <c r="N439">
        <v>512.39</v>
      </c>
    </row>
    <row r="440" spans="1:14" x14ac:dyDescent="0.35">
      <c r="A440" s="6" t="s">
        <v>1695</v>
      </c>
      <c r="B440" s="7">
        <v>45660</v>
      </c>
      <c r="C440" s="6" t="s">
        <v>1696</v>
      </c>
      <c r="D440" s="6" t="s">
        <v>32</v>
      </c>
      <c r="E440">
        <v>3</v>
      </c>
      <c r="F440">
        <v>459.34</v>
      </c>
      <c r="G440" s="6" t="s">
        <v>1697</v>
      </c>
      <c r="H440" s="6" t="s">
        <v>60</v>
      </c>
      <c r="I440" s="6" t="s">
        <v>89</v>
      </c>
      <c r="J440" s="6" t="s">
        <v>1698</v>
      </c>
      <c r="K440">
        <v>3</v>
      </c>
      <c r="L440" s="6" t="s">
        <v>21</v>
      </c>
      <c r="M440" s="6" t="s">
        <v>22</v>
      </c>
      <c r="N440">
        <v>1378.02</v>
      </c>
    </row>
    <row r="441" spans="1:14" x14ac:dyDescent="0.35">
      <c r="A441" s="6" t="s">
        <v>1699</v>
      </c>
      <c r="B441" s="7">
        <v>45543</v>
      </c>
      <c r="C441" s="6" t="s">
        <v>1700</v>
      </c>
      <c r="D441" s="6" t="s">
        <v>32</v>
      </c>
      <c r="E441">
        <v>1</v>
      </c>
      <c r="F441">
        <v>146.32</v>
      </c>
      <c r="G441" s="6" t="s">
        <v>1701</v>
      </c>
      <c r="H441" s="6" t="s">
        <v>27</v>
      </c>
      <c r="I441" s="6" t="s">
        <v>19</v>
      </c>
      <c r="J441" s="6" t="s">
        <v>1702</v>
      </c>
      <c r="K441">
        <v>4</v>
      </c>
      <c r="L441" s="6" t="s">
        <v>81</v>
      </c>
      <c r="M441" s="6" t="s">
        <v>45</v>
      </c>
      <c r="N441">
        <v>146.32</v>
      </c>
    </row>
    <row r="442" spans="1:14" x14ac:dyDescent="0.35">
      <c r="A442" s="6" t="s">
        <v>1703</v>
      </c>
      <c r="B442" s="7">
        <v>45601</v>
      </c>
      <c r="C442" s="6" t="s">
        <v>1704</v>
      </c>
      <c r="D442" s="6" t="s">
        <v>73</v>
      </c>
      <c r="E442">
        <v>4</v>
      </c>
      <c r="F442">
        <v>83.6</v>
      </c>
      <c r="G442" s="6" t="s">
        <v>1244</v>
      </c>
      <c r="H442" s="6" t="s">
        <v>18</v>
      </c>
      <c r="I442" s="6" t="s">
        <v>89</v>
      </c>
      <c r="J442" s="6" t="s">
        <v>1705</v>
      </c>
      <c r="K442">
        <v>4</v>
      </c>
      <c r="L442" s="6" t="s">
        <v>21</v>
      </c>
      <c r="M442" s="6" t="s">
        <v>45</v>
      </c>
      <c r="N442">
        <v>334.4</v>
      </c>
    </row>
    <row r="443" spans="1:14" x14ac:dyDescent="0.35">
      <c r="A443" s="6" t="s">
        <v>1706</v>
      </c>
      <c r="B443" s="7">
        <v>45273</v>
      </c>
      <c r="C443" s="6" t="s">
        <v>1707</v>
      </c>
      <c r="D443" s="6" t="s">
        <v>48</v>
      </c>
      <c r="E443">
        <v>2</v>
      </c>
      <c r="F443">
        <v>328.54</v>
      </c>
      <c r="G443" s="6" t="s">
        <v>1708</v>
      </c>
      <c r="H443" s="6" t="s">
        <v>60</v>
      </c>
      <c r="I443" s="6" t="s">
        <v>43</v>
      </c>
      <c r="J443" s="6" t="s">
        <v>1709</v>
      </c>
      <c r="K443">
        <v>6</v>
      </c>
      <c r="L443" s="6" t="s">
        <v>37</v>
      </c>
      <c r="M443" s="6" t="s">
        <v>38</v>
      </c>
      <c r="N443">
        <v>657.08</v>
      </c>
    </row>
    <row r="444" spans="1:14" x14ac:dyDescent="0.35">
      <c r="A444" s="6" t="s">
        <v>1710</v>
      </c>
      <c r="B444" s="7">
        <v>45418</v>
      </c>
      <c r="C444" s="6" t="s">
        <v>1711</v>
      </c>
      <c r="D444" s="6" t="s">
        <v>41</v>
      </c>
      <c r="E444">
        <v>5</v>
      </c>
      <c r="F444">
        <v>314.94</v>
      </c>
      <c r="G444" s="6" t="s">
        <v>1712</v>
      </c>
      <c r="H444" s="6" t="s">
        <v>65</v>
      </c>
      <c r="I444" s="6" t="s">
        <v>89</v>
      </c>
      <c r="J444" s="6" t="s">
        <v>1713</v>
      </c>
      <c r="K444">
        <v>8</v>
      </c>
      <c r="L444" s="6" t="s">
        <v>21</v>
      </c>
      <c r="M444" s="6" t="s">
        <v>22</v>
      </c>
      <c r="N444">
        <v>1574.7</v>
      </c>
    </row>
    <row r="445" spans="1:14" x14ac:dyDescent="0.35">
      <c r="A445" s="6" t="s">
        <v>1714</v>
      </c>
      <c r="B445" s="7">
        <v>45426</v>
      </c>
      <c r="C445" s="6" t="s">
        <v>1715</v>
      </c>
      <c r="D445" s="6" t="s">
        <v>41</v>
      </c>
      <c r="E445">
        <v>2</v>
      </c>
      <c r="F445">
        <v>69.64</v>
      </c>
      <c r="G445" s="6" t="s">
        <v>289</v>
      </c>
      <c r="H445" s="6" t="s">
        <v>65</v>
      </c>
      <c r="I445" s="6" t="s">
        <v>43</v>
      </c>
      <c r="J445" s="6" t="s">
        <v>1716</v>
      </c>
      <c r="K445">
        <v>6</v>
      </c>
      <c r="L445" s="6" t="s">
        <v>4283</v>
      </c>
      <c r="M445" s="6" t="s">
        <v>45</v>
      </c>
      <c r="N445">
        <v>139.28</v>
      </c>
    </row>
    <row r="446" spans="1:14" x14ac:dyDescent="0.35">
      <c r="A446" s="6" t="s">
        <v>1717</v>
      </c>
      <c r="B446" s="7">
        <v>45451</v>
      </c>
      <c r="C446" s="6" t="s">
        <v>1718</v>
      </c>
      <c r="D446" s="6" t="s">
        <v>48</v>
      </c>
      <c r="E446">
        <v>1</v>
      </c>
      <c r="F446">
        <v>135.16999999999999</v>
      </c>
      <c r="G446" s="6" t="s">
        <v>1719</v>
      </c>
      <c r="H446" s="6" t="s">
        <v>27</v>
      </c>
      <c r="I446" s="6" t="s">
        <v>19</v>
      </c>
      <c r="J446" s="6" t="s">
        <v>1720</v>
      </c>
      <c r="K446">
        <v>6</v>
      </c>
      <c r="L446" s="6" t="s">
        <v>37</v>
      </c>
      <c r="M446" s="6" t="s">
        <v>22</v>
      </c>
      <c r="N446">
        <v>135.16999999999999</v>
      </c>
    </row>
    <row r="447" spans="1:14" x14ac:dyDescent="0.35">
      <c r="A447" s="6" t="s">
        <v>1721</v>
      </c>
      <c r="B447" s="7">
        <v>45374</v>
      </c>
      <c r="C447" s="6" t="s">
        <v>1722</v>
      </c>
      <c r="D447" s="6" t="s">
        <v>25</v>
      </c>
      <c r="E447">
        <v>1</v>
      </c>
      <c r="F447">
        <v>487.21</v>
      </c>
      <c r="G447" s="6" t="s">
        <v>1723</v>
      </c>
      <c r="H447" s="6" t="s">
        <v>65</v>
      </c>
      <c r="I447" s="6" t="s">
        <v>50</v>
      </c>
      <c r="J447" s="6" t="s">
        <v>1724</v>
      </c>
      <c r="K447">
        <v>3</v>
      </c>
      <c r="L447" s="6" t="s">
        <v>21</v>
      </c>
      <c r="M447" s="6" t="s">
        <v>29</v>
      </c>
      <c r="N447">
        <v>487.21</v>
      </c>
    </row>
    <row r="448" spans="1:14" x14ac:dyDescent="0.35">
      <c r="A448" s="6" t="s">
        <v>1725</v>
      </c>
      <c r="B448" s="7">
        <v>45217</v>
      </c>
      <c r="C448" s="6" t="s">
        <v>1726</v>
      </c>
      <c r="D448" s="6" t="s">
        <v>58</v>
      </c>
      <c r="E448">
        <v>5</v>
      </c>
      <c r="F448">
        <v>509.58</v>
      </c>
      <c r="G448" s="6" t="s">
        <v>1727</v>
      </c>
      <c r="H448" s="6" t="s">
        <v>27</v>
      </c>
      <c r="I448" s="6" t="s">
        <v>50</v>
      </c>
      <c r="J448" s="6" t="s">
        <v>1728</v>
      </c>
      <c r="K448">
        <v>6</v>
      </c>
      <c r="L448" s="6" t="s">
        <v>37</v>
      </c>
      <c r="M448" s="6" t="s">
        <v>22</v>
      </c>
      <c r="N448">
        <v>2547.9</v>
      </c>
    </row>
    <row r="449" spans="1:14" x14ac:dyDescent="0.35">
      <c r="A449" s="6" t="s">
        <v>1729</v>
      </c>
      <c r="B449" s="7">
        <v>45389</v>
      </c>
      <c r="C449" s="6" t="s">
        <v>1730</v>
      </c>
      <c r="D449" s="6" t="s">
        <v>48</v>
      </c>
      <c r="E449">
        <v>2</v>
      </c>
      <c r="F449">
        <v>416.81</v>
      </c>
      <c r="G449" s="6" t="s">
        <v>1731</v>
      </c>
      <c r="H449" s="6" t="s">
        <v>65</v>
      </c>
      <c r="I449" s="6" t="s">
        <v>43</v>
      </c>
      <c r="J449" s="6" t="s">
        <v>1732</v>
      </c>
      <c r="K449">
        <v>2</v>
      </c>
      <c r="L449" s="6" t="s">
        <v>4283</v>
      </c>
      <c r="M449" s="6" t="s">
        <v>45</v>
      </c>
      <c r="N449">
        <v>833.62</v>
      </c>
    </row>
    <row r="450" spans="1:14" x14ac:dyDescent="0.35">
      <c r="A450" s="6" t="s">
        <v>1733</v>
      </c>
      <c r="B450" s="7">
        <v>45173</v>
      </c>
      <c r="C450" s="6" t="s">
        <v>1734</v>
      </c>
      <c r="D450" s="6" t="s">
        <v>58</v>
      </c>
      <c r="E450">
        <v>2</v>
      </c>
      <c r="F450">
        <v>160</v>
      </c>
      <c r="G450" s="6" t="s">
        <v>1735</v>
      </c>
      <c r="H450" s="6" t="s">
        <v>65</v>
      </c>
      <c r="I450" s="6" t="s">
        <v>89</v>
      </c>
      <c r="J450" s="6" t="s">
        <v>1736</v>
      </c>
      <c r="K450">
        <v>4</v>
      </c>
      <c r="L450" s="6" t="s">
        <v>21</v>
      </c>
      <c r="M450" s="6" t="s">
        <v>22</v>
      </c>
      <c r="N450">
        <v>320</v>
      </c>
    </row>
    <row r="451" spans="1:14" x14ac:dyDescent="0.35">
      <c r="A451" s="6" t="s">
        <v>1737</v>
      </c>
      <c r="B451" s="7">
        <v>45530</v>
      </c>
      <c r="C451" s="6" t="s">
        <v>1738</v>
      </c>
      <c r="D451" s="6" t="s">
        <v>32</v>
      </c>
      <c r="E451">
        <v>3</v>
      </c>
      <c r="F451">
        <v>253.05</v>
      </c>
      <c r="G451" s="6" t="s">
        <v>1739</v>
      </c>
      <c r="H451" s="6" t="s">
        <v>27</v>
      </c>
      <c r="I451" s="6" t="s">
        <v>89</v>
      </c>
      <c r="J451" s="6" t="s">
        <v>1740</v>
      </c>
      <c r="K451">
        <v>3</v>
      </c>
      <c r="L451" s="6" t="s">
        <v>4283</v>
      </c>
      <c r="M451" s="6" t="s">
        <v>22</v>
      </c>
      <c r="N451">
        <v>759.15</v>
      </c>
    </row>
    <row r="452" spans="1:14" x14ac:dyDescent="0.35">
      <c r="A452" s="6" t="s">
        <v>1741</v>
      </c>
      <c r="B452" s="7">
        <v>45306</v>
      </c>
      <c r="C452" s="6" t="s">
        <v>1742</v>
      </c>
      <c r="D452" s="6" t="s">
        <v>16</v>
      </c>
      <c r="E452">
        <v>5</v>
      </c>
      <c r="F452">
        <v>615.1</v>
      </c>
      <c r="G452" s="6" t="s">
        <v>1743</v>
      </c>
      <c r="H452" s="6" t="s">
        <v>60</v>
      </c>
      <c r="I452" s="6" t="s">
        <v>43</v>
      </c>
      <c r="J452" s="6" t="s">
        <v>1744</v>
      </c>
      <c r="K452">
        <v>10</v>
      </c>
      <c r="L452" s="6" t="s">
        <v>81</v>
      </c>
      <c r="M452" s="6" t="s">
        <v>22</v>
      </c>
      <c r="N452">
        <v>3075.5</v>
      </c>
    </row>
    <row r="453" spans="1:14" x14ac:dyDescent="0.35">
      <c r="A453" s="6" t="s">
        <v>1745</v>
      </c>
      <c r="B453" s="7">
        <v>45017</v>
      </c>
      <c r="C453" s="6" t="s">
        <v>1746</v>
      </c>
      <c r="D453" s="6" t="s">
        <v>16</v>
      </c>
      <c r="E453">
        <v>1</v>
      </c>
      <c r="F453">
        <v>183.18</v>
      </c>
      <c r="G453" s="6" t="s">
        <v>450</v>
      </c>
      <c r="H453" s="6" t="s">
        <v>18</v>
      </c>
      <c r="I453" s="6" t="s">
        <v>35</v>
      </c>
      <c r="J453" s="6" t="s">
        <v>1747</v>
      </c>
      <c r="K453">
        <v>6</v>
      </c>
      <c r="L453" s="6" t="s">
        <v>21</v>
      </c>
      <c r="M453" s="6" t="s">
        <v>38</v>
      </c>
      <c r="N453">
        <v>183.18</v>
      </c>
    </row>
    <row r="454" spans="1:14" x14ac:dyDescent="0.35">
      <c r="A454" s="6" t="s">
        <v>1748</v>
      </c>
      <c r="B454" s="7">
        <v>45130</v>
      </c>
      <c r="C454" s="6" t="s">
        <v>1749</v>
      </c>
      <c r="D454" s="6" t="s">
        <v>48</v>
      </c>
      <c r="E454">
        <v>1</v>
      </c>
      <c r="F454">
        <v>75.78</v>
      </c>
      <c r="G454" s="6" t="s">
        <v>1750</v>
      </c>
      <c r="H454" s="6" t="s">
        <v>65</v>
      </c>
      <c r="I454" s="6" t="s">
        <v>89</v>
      </c>
      <c r="J454" s="6" t="s">
        <v>1751</v>
      </c>
      <c r="K454">
        <v>5</v>
      </c>
      <c r="L454" s="6" t="s">
        <v>21</v>
      </c>
      <c r="M454" s="6" t="s">
        <v>76</v>
      </c>
      <c r="N454">
        <v>75.78</v>
      </c>
    </row>
    <row r="455" spans="1:14" x14ac:dyDescent="0.35">
      <c r="A455" s="6" t="s">
        <v>1752</v>
      </c>
      <c r="B455" s="7">
        <v>45779</v>
      </c>
      <c r="C455" s="6" t="s">
        <v>1753</v>
      </c>
      <c r="D455" s="6" t="s">
        <v>32</v>
      </c>
      <c r="E455">
        <v>1</v>
      </c>
      <c r="F455">
        <v>675.57</v>
      </c>
      <c r="G455" s="6" t="s">
        <v>1754</v>
      </c>
      <c r="H455" s="6" t="s">
        <v>65</v>
      </c>
      <c r="I455" s="6" t="s">
        <v>19</v>
      </c>
      <c r="J455" s="6" t="s">
        <v>1755</v>
      </c>
      <c r="K455">
        <v>1</v>
      </c>
      <c r="L455" s="6" t="s">
        <v>81</v>
      </c>
      <c r="M455" s="6" t="s">
        <v>45</v>
      </c>
      <c r="N455">
        <v>675.57</v>
      </c>
    </row>
    <row r="456" spans="1:14" x14ac:dyDescent="0.35">
      <c r="A456" s="6" t="s">
        <v>1756</v>
      </c>
      <c r="B456" s="7">
        <v>45623</v>
      </c>
      <c r="C456" s="6" t="s">
        <v>1757</v>
      </c>
      <c r="D456" s="6" t="s">
        <v>58</v>
      </c>
      <c r="E456">
        <v>1</v>
      </c>
      <c r="F456">
        <v>109.29</v>
      </c>
      <c r="G456" s="6" t="s">
        <v>1758</v>
      </c>
      <c r="H456" s="6" t="s">
        <v>18</v>
      </c>
      <c r="I456" s="6" t="s">
        <v>35</v>
      </c>
      <c r="J456" s="6" t="s">
        <v>1759</v>
      </c>
      <c r="K456">
        <v>5</v>
      </c>
      <c r="L456" s="6" t="s">
        <v>37</v>
      </c>
      <c r="M456" s="6" t="s">
        <v>76</v>
      </c>
      <c r="N456">
        <v>109.29</v>
      </c>
    </row>
    <row r="457" spans="1:14" x14ac:dyDescent="0.35">
      <c r="A457" s="6" t="s">
        <v>1760</v>
      </c>
      <c r="B457" s="7">
        <v>45377</v>
      </c>
      <c r="C457" s="6" t="s">
        <v>1761</v>
      </c>
      <c r="D457" s="6" t="s">
        <v>25</v>
      </c>
      <c r="E457">
        <v>1</v>
      </c>
      <c r="F457">
        <v>639.83000000000004</v>
      </c>
      <c r="G457" s="6" t="s">
        <v>1762</v>
      </c>
      <c r="H457" s="6" t="s">
        <v>18</v>
      </c>
      <c r="I457" s="6" t="s">
        <v>89</v>
      </c>
      <c r="J457" s="6" t="s">
        <v>1763</v>
      </c>
      <c r="K457">
        <v>2</v>
      </c>
      <c r="L457" s="6" t="s">
        <v>21</v>
      </c>
      <c r="M457" s="6" t="s">
        <v>29</v>
      </c>
      <c r="N457">
        <v>639.83000000000004</v>
      </c>
    </row>
    <row r="458" spans="1:14" x14ac:dyDescent="0.35">
      <c r="A458" s="6" t="s">
        <v>1764</v>
      </c>
      <c r="B458" s="7">
        <v>45103</v>
      </c>
      <c r="C458" s="6" t="s">
        <v>1765</v>
      </c>
      <c r="D458" s="6" t="s">
        <v>73</v>
      </c>
      <c r="E458">
        <v>5</v>
      </c>
      <c r="F458">
        <v>62.81</v>
      </c>
      <c r="G458" s="6" t="s">
        <v>1364</v>
      </c>
      <c r="H458" s="6" t="s">
        <v>34</v>
      </c>
      <c r="I458" s="6" t="s">
        <v>19</v>
      </c>
      <c r="J458" s="6" t="s">
        <v>1766</v>
      </c>
      <c r="K458">
        <v>9</v>
      </c>
      <c r="L458" s="6" t="s">
        <v>21</v>
      </c>
      <c r="M458" s="6" t="s">
        <v>45</v>
      </c>
      <c r="N458">
        <v>314.05</v>
      </c>
    </row>
    <row r="459" spans="1:14" x14ac:dyDescent="0.35">
      <c r="A459" s="6" t="s">
        <v>1767</v>
      </c>
      <c r="B459" s="7">
        <v>45802</v>
      </c>
      <c r="C459" s="6" t="s">
        <v>1768</v>
      </c>
      <c r="D459" s="6" t="s">
        <v>73</v>
      </c>
      <c r="E459">
        <v>4</v>
      </c>
      <c r="F459">
        <v>615.83000000000004</v>
      </c>
      <c r="G459" s="6" t="s">
        <v>1769</v>
      </c>
      <c r="H459" s="6" t="s">
        <v>27</v>
      </c>
      <c r="I459" s="6" t="s">
        <v>43</v>
      </c>
      <c r="J459" s="6" t="s">
        <v>1770</v>
      </c>
      <c r="K459">
        <v>4</v>
      </c>
      <c r="L459" s="6" t="s">
        <v>81</v>
      </c>
      <c r="M459" s="6" t="s">
        <v>22</v>
      </c>
      <c r="N459">
        <v>2463.3200000000002</v>
      </c>
    </row>
    <row r="460" spans="1:14" x14ac:dyDescent="0.35">
      <c r="A460" s="6" t="s">
        <v>1771</v>
      </c>
      <c r="B460" s="7">
        <v>45475</v>
      </c>
      <c r="C460" s="6" t="s">
        <v>1772</v>
      </c>
      <c r="D460" s="6" t="s">
        <v>16</v>
      </c>
      <c r="E460">
        <v>4</v>
      </c>
      <c r="F460">
        <v>510.58</v>
      </c>
      <c r="G460" s="6" t="s">
        <v>399</v>
      </c>
      <c r="H460" s="6" t="s">
        <v>34</v>
      </c>
      <c r="I460" s="6" t="s">
        <v>43</v>
      </c>
      <c r="J460" s="6" t="s">
        <v>1773</v>
      </c>
      <c r="K460">
        <v>7</v>
      </c>
      <c r="L460" s="6" t="s">
        <v>81</v>
      </c>
      <c r="M460" s="6" t="s">
        <v>38</v>
      </c>
      <c r="N460">
        <v>2042.32</v>
      </c>
    </row>
    <row r="461" spans="1:14" x14ac:dyDescent="0.35">
      <c r="A461" s="6" t="s">
        <v>1774</v>
      </c>
      <c r="B461" s="7">
        <v>45497</v>
      </c>
      <c r="C461" s="6" t="s">
        <v>1775</v>
      </c>
      <c r="D461" s="6" t="s">
        <v>73</v>
      </c>
      <c r="E461">
        <v>1</v>
      </c>
      <c r="F461">
        <v>334.39</v>
      </c>
      <c r="G461" s="6" t="s">
        <v>1670</v>
      </c>
      <c r="H461" s="6" t="s">
        <v>34</v>
      </c>
      <c r="I461" s="6" t="s">
        <v>43</v>
      </c>
      <c r="J461" s="6" t="s">
        <v>1776</v>
      </c>
      <c r="K461">
        <v>2</v>
      </c>
      <c r="L461" s="6" t="s">
        <v>4283</v>
      </c>
      <c r="M461" s="6" t="s">
        <v>22</v>
      </c>
      <c r="N461">
        <v>334.39</v>
      </c>
    </row>
    <row r="462" spans="1:14" x14ac:dyDescent="0.35">
      <c r="A462" s="6" t="s">
        <v>1777</v>
      </c>
      <c r="B462" s="7">
        <v>45571</v>
      </c>
      <c r="C462" s="6" t="s">
        <v>1778</v>
      </c>
      <c r="D462" s="6" t="s">
        <v>58</v>
      </c>
      <c r="E462">
        <v>1</v>
      </c>
      <c r="F462">
        <v>144.25</v>
      </c>
      <c r="G462" s="6" t="s">
        <v>1779</v>
      </c>
      <c r="H462" s="6" t="s">
        <v>65</v>
      </c>
      <c r="I462" s="6" t="s">
        <v>43</v>
      </c>
      <c r="J462" s="6" t="s">
        <v>1780</v>
      </c>
      <c r="K462">
        <v>2</v>
      </c>
      <c r="L462" s="6" t="s">
        <v>81</v>
      </c>
      <c r="M462" s="6" t="s">
        <v>29</v>
      </c>
      <c r="N462">
        <v>144.25</v>
      </c>
    </row>
    <row r="463" spans="1:14" x14ac:dyDescent="0.35">
      <c r="A463" s="6" t="s">
        <v>1781</v>
      </c>
      <c r="B463" s="7">
        <v>45451</v>
      </c>
      <c r="C463" s="6" t="s">
        <v>1782</v>
      </c>
      <c r="D463" s="6" t="s">
        <v>32</v>
      </c>
      <c r="E463">
        <v>1</v>
      </c>
      <c r="F463">
        <v>401.82</v>
      </c>
      <c r="G463" s="6" t="s">
        <v>972</v>
      </c>
      <c r="H463" s="6" t="s">
        <v>34</v>
      </c>
      <c r="I463" s="6" t="s">
        <v>19</v>
      </c>
      <c r="J463" s="6" t="s">
        <v>1783</v>
      </c>
      <c r="K463">
        <v>5</v>
      </c>
      <c r="L463" s="6" t="s">
        <v>37</v>
      </c>
      <c r="M463" s="6" t="s">
        <v>76</v>
      </c>
      <c r="N463">
        <v>401.82</v>
      </c>
    </row>
    <row r="464" spans="1:14" x14ac:dyDescent="0.35">
      <c r="A464" s="6" t="s">
        <v>1784</v>
      </c>
      <c r="B464" s="7">
        <v>45747</v>
      </c>
      <c r="C464" s="6" t="s">
        <v>1785</v>
      </c>
      <c r="D464" s="6" t="s">
        <v>25</v>
      </c>
      <c r="E464">
        <v>1</v>
      </c>
      <c r="F464">
        <v>252.68</v>
      </c>
      <c r="G464" s="6" t="s">
        <v>1786</v>
      </c>
      <c r="H464" s="6" t="s">
        <v>27</v>
      </c>
      <c r="I464" s="6" t="s">
        <v>35</v>
      </c>
      <c r="J464" s="6" t="s">
        <v>1787</v>
      </c>
      <c r="K464">
        <v>1</v>
      </c>
      <c r="L464" s="6" t="s">
        <v>4283</v>
      </c>
      <c r="M464" s="6" t="s">
        <v>29</v>
      </c>
      <c r="N464">
        <v>252.68</v>
      </c>
    </row>
    <row r="465" spans="1:14" x14ac:dyDescent="0.35">
      <c r="A465" s="6" t="s">
        <v>1788</v>
      </c>
      <c r="B465" s="7">
        <v>45072</v>
      </c>
      <c r="C465" s="6" t="s">
        <v>1789</v>
      </c>
      <c r="D465" s="6" t="s">
        <v>58</v>
      </c>
      <c r="E465">
        <v>5</v>
      </c>
      <c r="F465">
        <v>662.78</v>
      </c>
      <c r="G465" s="6" t="s">
        <v>1790</v>
      </c>
      <c r="H465" s="6" t="s">
        <v>18</v>
      </c>
      <c r="I465" s="6" t="s">
        <v>19</v>
      </c>
      <c r="J465" s="6" t="s">
        <v>1791</v>
      </c>
      <c r="K465">
        <v>9</v>
      </c>
      <c r="L465" s="6" t="s">
        <v>21</v>
      </c>
      <c r="M465" s="6" t="s">
        <v>22</v>
      </c>
      <c r="N465">
        <v>3313.9</v>
      </c>
    </row>
    <row r="466" spans="1:14" x14ac:dyDescent="0.35">
      <c r="A466" s="6" t="s">
        <v>1792</v>
      </c>
      <c r="B466" s="7">
        <v>44999</v>
      </c>
      <c r="C466" s="6" t="s">
        <v>1793</v>
      </c>
      <c r="D466" s="6" t="s">
        <v>32</v>
      </c>
      <c r="E466">
        <v>4</v>
      </c>
      <c r="F466">
        <v>434.42</v>
      </c>
      <c r="G466" s="6" t="s">
        <v>1794</v>
      </c>
      <c r="H466" s="6" t="s">
        <v>27</v>
      </c>
      <c r="I466" s="6" t="s">
        <v>35</v>
      </c>
      <c r="J466" s="6" t="s">
        <v>1795</v>
      </c>
      <c r="K466">
        <v>6</v>
      </c>
      <c r="L466" s="6" t="s">
        <v>37</v>
      </c>
      <c r="M466" s="6" t="s">
        <v>76</v>
      </c>
      <c r="N466">
        <v>1737.68</v>
      </c>
    </row>
    <row r="467" spans="1:14" x14ac:dyDescent="0.35">
      <c r="A467" s="6" t="s">
        <v>1796</v>
      </c>
      <c r="B467" s="7">
        <v>45348</v>
      </c>
      <c r="C467" s="6" t="s">
        <v>1797</v>
      </c>
      <c r="D467" s="6" t="s">
        <v>48</v>
      </c>
      <c r="E467">
        <v>5</v>
      </c>
      <c r="F467">
        <v>513.49</v>
      </c>
      <c r="G467" s="6" t="s">
        <v>1798</v>
      </c>
      <c r="H467" s="6" t="s">
        <v>60</v>
      </c>
      <c r="I467" s="6" t="s">
        <v>35</v>
      </c>
      <c r="J467" s="6" t="s">
        <v>1799</v>
      </c>
      <c r="K467">
        <v>8</v>
      </c>
      <c r="L467" s="6" t="s">
        <v>4283</v>
      </c>
      <c r="M467" s="6" t="s">
        <v>76</v>
      </c>
      <c r="N467">
        <v>2567.4499999999998</v>
      </c>
    </row>
    <row r="468" spans="1:14" x14ac:dyDescent="0.35">
      <c r="A468" s="6" t="s">
        <v>1800</v>
      </c>
      <c r="B468" s="7">
        <v>45125</v>
      </c>
      <c r="C468" s="6" t="s">
        <v>1801</v>
      </c>
      <c r="D468" s="6" t="s">
        <v>25</v>
      </c>
      <c r="E468">
        <v>1</v>
      </c>
      <c r="F468">
        <v>432.47</v>
      </c>
      <c r="G468" s="6" t="s">
        <v>161</v>
      </c>
      <c r="H468" s="6" t="s">
        <v>65</v>
      </c>
      <c r="I468" s="6" t="s">
        <v>50</v>
      </c>
      <c r="J468" s="6" t="s">
        <v>1802</v>
      </c>
      <c r="K468">
        <v>4</v>
      </c>
      <c r="L468" s="6" t="s">
        <v>37</v>
      </c>
      <c r="M468" s="6" t="s">
        <v>29</v>
      </c>
      <c r="N468">
        <v>432.47</v>
      </c>
    </row>
    <row r="469" spans="1:14" x14ac:dyDescent="0.35">
      <c r="A469" s="6" t="s">
        <v>1803</v>
      </c>
      <c r="B469" s="7">
        <v>45534</v>
      </c>
      <c r="C469" s="6" t="s">
        <v>1804</v>
      </c>
      <c r="D469" s="6" t="s">
        <v>73</v>
      </c>
      <c r="E469">
        <v>1</v>
      </c>
      <c r="F469">
        <v>45.94</v>
      </c>
      <c r="G469" s="6" t="s">
        <v>763</v>
      </c>
      <c r="H469" s="6" t="s">
        <v>65</v>
      </c>
      <c r="I469" s="6" t="s">
        <v>35</v>
      </c>
      <c r="J469" s="6" t="s">
        <v>1805</v>
      </c>
      <c r="K469">
        <v>2</v>
      </c>
      <c r="L469" s="6" t="s">
        <v>81</v>
      </c>
      <c r="M469" s="6" t="s">
        <v>38</v>
      </c>
      <c r="N469">
        <v>45.94</v>
      </c>
    </row>
    <row r="470" spans="1:14" x14ac:dyDescent="0.35">
      <c r="A470" s="6" t="s">
        <v>1806</v>
      </c>
      <c r="B470" s="7">
        <v>45829</v>
      </c>
      <c r="C470" s="6" t="s">
        <v>1807</v>
      </c>
      <c r="D470" s="6" t="s">
        <v>25</v>
      </c>
      <c r="E470">
        <v>1</v>
      </c>
      <c r="F470">
        <v>418.36</v>
      </c>
      <c r="G470" s="6" t="s">
        <v>1808</v>
      </c>
      <c r="H470" s="6" t="s">
        <v>34</v>
      </c>
      <c r="I470" s="6" t="s">
        <v>50</v>
      </c>
      <c r="J470" s="6" t="s">
        <v>1809</v>
      </c>
      <c r="K470">
        <v>5</v>
      </c>
      <c r="L470" s="6" t="s">
        <v>37</v>
      </c>
      <c r="M470" s="6" t="s">
        <v>38</v>
      </c>
      <c r="N470">
        <v>418.36</v>
      </c>
    </row>
    <row r="471" spans="1:14" x14ac:dyDescent="0.35">
      <c r="A471" s="6" t="s">
        <v>1810</v>
      </c>
      <c r="B471" s="7">
        <v>45256</v>
      </c>
      <c r="C471" s="6" t="s">
        <v>1811</v>
      </c>
      <c r="D471" s="6" t="s">
        <v>41</v>
      </c>
      <c r="E471">
        <v>5</v>
      </c>
      <c r="F471">
        <v>676.98</v>
      </c>
      <c r="G471" s="6" t="s">
        <v>618</v>
      </c>
      <c r="H471" s="6" t="s">
        <v>65</v>
      </c>
      <c r="I471" s="6" t="s">
        <v>35</v>
      </c>
      <c r="J471" s="6" t="s">
        <v>1812</v>
      </c>
      <c r="K471">
        <v>5</v>
      </c>
      <c r="L471" s="6" t="s">
        <v>4283</v>
      </c>
      <c r="M471" s="6" t="s">
        <v>45</v>
      </c>
      <c r="N471">
        <v>3384.9</v>
      </c>
    </row>
    <row r="472" spans="1:14" x14ac:dyDescent="0.35">
      <c r="A472" s="6" t="s">
        <v>1813</v>
      </c>
      <c r="B472" s="7">
        <v>45198</v>
      </c>
      <c r="C472" s="6" t="s">
        <v>1814</v>
      </c>
      <c r="D472" s="6" t="s">
        <v>32</v>
      </c>
      <c r="E472">
        <v>4</v>
      </c>
      <c r="F472">
        <v>263.62</v>
      </c>
      <c r="G472" s="6" t="s">
        <v>1815</v>
      </c>
      <c r="H472" s="6" t="s">
        <v>65</v>
      </c>
      <c r="I472" s="6" t="s">
        <v>19</v>
      </c>
      <c r="J472" s="6" t="s">
        <v>1816</v>
      </c>
      <c r="K472">
        <v>5</v>
      </c>
      <c r="L472" s="6" t="s">
        <v>21</v>
      </c>
      <c r="M472" s="6" t="s">
        <v>38</v>
      </c>
      <c r="N472">
        <v>1054.48</v>
      </c>
    </row>
    <row r="473" spans="1:14" x14ac:dyDescent="0.35">
      <c r="A473" s="6" t="s">
        <v>1817</v>
      </c>
      <c r="B473" s="7">
        <v>45766</v>
      </c>
      <c r="C473" s="6" t="s">
        <v>1818</v>
      </c>
      <c r="D473" s="6" t="s">
        <v>73</v>
      </c>
      <c r="E473">
        <v>5</v>
      </c>
      <c r="F473">
        <v>551.27</v>
      </c>
      <c r="G473" s="6" t="s">
        <v>1819</v>
      </c>
      <c r="H473" s="6" t="s">
        <v>27</v>
      </c>
      <c r="I473" s="6" t="s">
        <v>35</v>
      </c>
      <c r="J473" s="6" t="s">
        <v>1820</v>
      </c>
      <c r="K473">
        <v>7</v>
      </c>
      <c r="L473" s="6" t="s">
        <v>37</v>
      </c>
      <c r="M473" s="6" t="s">
        <v>29</v>
      </c>
      <c r="N473">
        <v>2756.35</v>
      </c>
    </row>
    <row r="474" spans="1:14" x14ac:dyDescent="0.35">
      <c r="A474" s="6" t="s">
        <v>1821</v>
      </c>
      <c r="B474" s="7">
        <v>44932</v>
      </c>
      <c r="C474" s="6" t="s">
        <v>1822</v>
      </c>
      <c r="D474" s="6" t="s">
        <v>41</v>
      </c>
      <c r="E474">
        <v>3</v>
      </c>
      <c r="F474">
        <v>508.12</v>
      </c>
      <c r="G474" s="6" t="s">
        <v>1823</v>
      </c>
      <c r="H474" s="6" t="s">
        <v>34</v>
      </c>
      <c r="I474" s="6" t="s">
        <v>35</v>
      </c>
      <c r="J474" s="6" t="s">
        <v>1824</v>
      </c>
      <c r="K474">
        <v>8</v>
      </c>
      <c r="L474" s="6" t="s">
        <v>37</v>
      </c>
      <c r="M474" s="6" t="s">
        <v>29</v>
      </c>
      <c r="N474">
        <v>1524.36</v>
      </c>
    </row>
    <row r="475" spans="1:14" x14ac:dyDescent="0.35">
      <c r="A475" s="6" t="s">
        <v>1825</v>
      </c>
      <c r="B475" s="7">
        <v>45713</v>
      </c>
      <c r="C475" s="6" t="s">
        <v>1826</v>
      </c>
      <c r="D475" s="6" t="s">
        <v>41</v>
      </c>
      <c r="E475">
        <v>2</v>
      </c>
      <c r="F475">
        <v>14.93</v>
      </c>
      <c r="G475" s="6" t="s">
        <v>1827</v>
      </c>
      <c r="H475" s="6" t="s">
        <v>27</v>
      </c>
      <c r="I475" s="6" t="s">
        <v>19</v>
      </c>
      <c r="J475" s="6" t="s">
        <v>1828</v>
      </c>
      <c r="K475">
        <v>4</v>
      </c>
      <c r="L475" s="6" t="s">
        <v>4283</v>
      </c>
      <c r="M475" s="6" t="s">
        <v>45</v>
      </c>
      <c r="N475">
        <v>29.86</v>
      </c>
    </row>
    <row r="476" spans="1:14" x14ac:dyDescent="0.35">
      <c r="A476" s="6" t="s">
        <v>1829</v>
      </c>
      <c r="B476" s="7">
        <v>45245</v>
      </c>
      <c r="C476" s="6" t="s">
        <v>1830</v>
      </c>
      <c r="D476" s="6" t="s">
        <v>48</v>
      </c>
      <c r="E476">
        <v>3</v>
      </c>
      <c r="F476">
        <v>229.34</v>
      </c>
      <c r="G476" s="6" t="s">
        <v>1340</v>
      </c>
      <c r="H476" s="6" t="s">
        <v>34</v>
      </c>
      <c r="I476" s="6" t="s">
        <v>19</v>
      </c>
      <c r="J476" s="6" t="s">
        <v>1831</v>
      </c>
      <c r="K476">
        <v>6</v>
      </c>
      <c r="L476" s="6" t="s">
        <v>21</v>
      </c>
      <c r="M476" s="6" t="s">
        <v>29</v>
      </c>
      <c r="N476">
        <v>688.02</v>
      </c>
    </row>
    <row r="477" spans="1:14" x14ac:dyDescent="0.35">
      <c r="A477" s="6" t="s">
        <v>1832</v>
      </c>
      <c r="B477" s="7">
        <v>45766</v>
      </c>
      <c r="C477" s="6" t="s">
        <v>1833</v>
      </c>
      <c r="D477" s="6" t="s">
        <v>32</v>
      </c>
      <c r="E477">
        <v>2</v>
      </c>
      <c r="F477">
        <v>438.62</v>
      </c>
      <c r="G477" s="6" t="s">
        <v>1834</v>
      </c>
      <c r="H477" s="6" t="s">
        <v>65</v>
      </c>
      <c r="I477" s="6" t="s">
        <v>35</v>
      </c>
      <c r="J477" s="6" t="s">
        <v>1835</v>
      </c>
      <c r="K477">
        <v>3</v>
      </c>
      <c r="L477" s="6" t="s">
        <v>21</v>
      </c>
      <c r="M477" s="6" t="s">
        <v>45</v>
      </c>
      <c r="N477">
        <v>877.24</v>
      </c>
    </row>
    <row r="478" spans="1:14" x14ac:dyDescent="0.35">
      <c r="A478" s="6" t="s">
        <v>1836</v>
      </c>
      <c r="B478" s="7">
        <v>45306</v>
      </c>
      <c r="C478" s="6" t="s">
        <v>1837</v>
      </c>
      <c r="D478" s="6" t="s">
        <v>25</v>
      </c>
      <c r="E478">
        <v>2</v>
      </c>
      <c r="F478">
        <v>513.59</v>
      </c>
      <c r="G478" s="6" t="s">
        <v>1838</v>
      </c>
      <c r="H478" s="6" t="s">
        <v>27</v>
      </c>
      <c r="I478" s="6" t="s">
        <v>43</v>
      </c>
      <c r="J478" s="6" t="s">
        <v>1839</v>
      </c>
      <c r="K478">
        <v>4</v>
      </c>
      <c r="L478" s="6" t="s">
        <v>37</v>
      </c>
      <c r="M478" s="6" t="s">
        <v>29</v>
      </c>
      <c r="N478">
        <v>1027.18</v>
      </c>
    </row>
    <row r="479" spans="1:14" x14ac:dyDescent="0.35">
      <c r="A479" s="6" t="s">
        <v>1840</v>
      </c>
      <c r="B479" s="7">
        <v>45721</v>
      </c>
      <c r="C479" s="6" t="s">
        <v>1841</v>
      </c>
      <c r="D479" s="6" t="s">
        <v>25</v>
      </c>
      <c r="E479">
        <v>2</v>
      </c>
      <c r="F479">
        <v>253.74</v>
      </c>
      <c r="G479" s="6" t="s">
        <v>1842</v>
      </c>
      <c r="H479" s="6" t="s">
        <v>27</v>
      </c>
      <c r="I479" s="6" t="s">
        <v>19</v>
      </c>
      <c r="J479" s="6" t="s">
        <v>1843</v>
      </c>
      <c r="K479">
        <v>5</v>
      </c>
      <c r="L479" s="6" t="s">
        <v>21</v>
      </c>
      <c r="M479" s="6" t="s">
        <v>76</v>
      </c>
      <c r="N479">
        <v>507.48</v>
      </c>
    </row>
    <row r="480" spans="1:14" x14ac:dyDescent="0.35">
      <c r="A480" s="6" t="s">
        <v>1844</v>
      </c>
      <c r="B480" s="7">
        <v>45597</v>
      </c>
      <c r="C480" s="6" t="s">
        <v>1845</v>
      </c>
      <c r="D480" s="6" t="s">
        <v>32</v>
      </c>
      <c r="E480">
        <v>3</v>
      </c>
      <c r="F480">
        <v>62.77</v>
      </c>
      <c r="G480" s="6" t="s">
        <v>105</v>
      </c>
      <c r="H480" s="6" t="s">
        <v>60</v>
      </c>
      <c r="I480" s="6" t="s">
        <v>19</v>
      </c>
      <c r="J480" s="6" t="s">
        <v>1846</v>
      </c>
      <c r="K480">
        <v>6</v>
      </c>
      <c r="L480" s="6" t="s">
        <v>37</v>
      </c>
      <c r="M480" s="6" t="s">
        <v>29</v>
      </c>
      <c r="N480">
        <v>188.31</v>
      </c>
    </row>
    <row r="481" spans="1:14" x14ac:dyDescent="0.35">
      <c r="A481" s="6" t="s">
        <v>1847</v>
      </c>
      <c r="B481" s="7">
        <v>44975</v>
      </c>
      <c r="C481" s="6" t="s">
        <v>1848</v>
      </c>
      <c r="D481" s="6" t="s">
        <v>16</v>
      </c>
      <c r="E481">
        <v>4</v>
      </c>
      <c r="F481">
        <v>25.29</v>
      </c>
      <c r="G481" s="6" t="s">
        <v>1849</v>
      </c>
      <c r="H481" s="6" t="s">
        <v>34</v>
      </c>
      <c r="I481" s="6" t="s">
        <v>89</v>
      </c>
      <c r="J481" s="6" t="s">
        <v>1850</v>
      </c>
      <c r="K481">
        <v>8</v>
      </c>
      <c r="L481" s="6" t="s">
        <v>4283</v>
      </c>
      <c r="M481" s="6" t="s">
        <v>76</v>
      </c>
      <c r="N481">
        <v>101.16</v>
      </c>
    </row>
    <row r="482" spans="1:14" x14ac:dyDescent="0.35">
      <c r="A482" s="6" t="s">
        <v>1851</v>
      </c>
      <c r="B482" s="7">
        <v>45093</v>
      </c>
      <c r="C482" s="6" t="s">
        <v>1852</v>
      </c>
      <c r="D482" s="6" t="s">
        <v>41</v>
      </c>
      <c r="E482">
        <v>1</v>
      </c>
      <c r="F482">
        <v>335.1</v>
      </c>
      <c r="G482" s="6" t="s">
        <v>458</v>
      </c>
      <c r="H482" s="6" t="s">
        <v>18</v>
      </c>
      <c r="I482" s="6" t="s">
        <v>89</v>
      </c>
      <c r="J482" s="6" t="s">
        <v>1853</v>
      </c>
      <c r="K482">
        <v>6</v>
      </c>
      <c r="L482" s="6" t="s">
        <v>37</v>
      </c>
      <c r="M482" s="6" t="s">
        <v>29</v>
      </c>
      <c r="N482">
        <v>335.1</v>
      </c>
    </row>
    <row r="483" spans="1:14" x14ac:dyDescent="0.35">
      <c r="A483" s="6" t="s">
        <v>1854</v>
      </c>
      <c r="B483" s="7">
        <v>45039</v>
      </c>
      <c r="C483" s="6" t="s">
        <v>1855</v>
      </c>
      <c r="D483" s="6" t="s">
        <v>58</v>
      </c>
      <c r="E483">
        <v>4</v>
      </c>
      <c r="F483">
        <v>484.85</v>
      </c>
      <c r="G483" s="6" t="s">
        <v>866</v>
      </c>
      <c r="H483" s="6" t="s">
        <v>18</v>
      </c>
      <c r="I483" s="6" t="s">
        <v>50</v>
      </c>
      <c r="J483" s="6" t="s">
        <v>1856</v>
      </c>
      <c r="K483">
        <v>5</v>
      </c>
      <c r="L483" s="6" t="s">
        <v>81</v>
      </c>
      <c r="M483" s="6" t="s">
        <v>29</v>
      </c>
      <c r="N483">
        <v>1939.4</v>
      </c>
    </row>
    <row r="484" spans="1:14" x14ac:dyDescent="0.35">
      <c r="A484" s="6" t="s">
        <v>1857</v>
      </c>
      <c r="B484" s="7">
        <v>45718</v>
      </c>
      <c r="C484" s="6" t="s">
        <v>1858</v>
      </c>
      <c r="D484" s="6" t="s">
        <v>16</v>
      </c>
      <c r="E484">
        <v>3</v>
      </c>
      <c r="F484">
        <v>381.41</v>
      </c>
      <c r="G484" s="6" t="s">
        <v>367</v>
      </c>
      <c r="H484" s="6" t="s">
        <v>27</v>
      </c>
      <c r="I484" s="6" t="s">
        <v>89</v>
      </c>
      <c r="J484" s="6" t="s">
        <v>1859</v>
      </c>
      <c r="K484">
        <v>6</v>
      </c>
      <c r="L484" s="6" t="s">
        <v>4283</v>
      </c>
      <c r="M484" s="6" t="s">
        <v>22</v>
      </c>
      <c r="N484">
        <v>1144.23</v>
      </c>
    </row>
    <row r="485" spans="1:14" x14ac:dyDescent="0.35">
      <c r="A485" s="6" t="s">
        <v>1860</v>
      </c>
      <c r="B485" s="7">
        <v>44944</v>
      </c>
      <c r="C485" s="6" t="s">
        <v>1861</v>
      </c>
      <c r="D485" s="6" t="s">
        <v>25</v>
      </c>
      <c r="E485">
        <v>5</v>
      </c>
      <c r="F485">
        <v>347.92</v>
      </c>
      <c r="G485" s="6" t="s">
        <v>1862</v>
      </c>
      <c r="H485" s="6" t="s">
        <v>65</v>
      </c>
      <c r="I485" s="6" t="s">
        <v>89</v>
      </c>
      <c r="J485" s="6" t="s">
        <v>1863</v>
      </c>
      <c r="K485">
        <v>6</v>
      </c>
      <c r="L485" s="6" t="s">
        <v>81</v>
      </c>
      <c r="M485" s="6" t="s">
        <v>76</v>
      </c>
      <c r="N485">
        <v>1739.6</v>
      </c>
    </row>
    <row r="486" spans="1:14" x14ac:dyDescent="0.35">
      <c r="A486" s="6" t="s">
        <v>1864</v>
      </c>
      <c r="B486" s="7">
        <v>45441</v>
      </c>
      <c r="C486" s="6" t="s">
        <v>1865</v>
      </c>
      <c r="D486" s="6" t="s">
        <v>41</v>
      </c>
      <c r="E486">
        <v>4</v>
      </c>
      <c r="F486">
        <v>15.01</v>
      </c>
      <c r="G486" s="6" t="s">
        <v>1594</v>
      </c>
      <c r="H486" s="6" t="s">
        <v>65</v>
      </c>
      <c r="I486" s="6" t="s">
        <v>35</v>
      </c>
      <c r="J486" s="6" t="s">
        <v>1866</v>
      </c>
      <c r="K486">
        <v>6</v>
      </c>
      <c r="L486" s="6" t="s">
        <v>4283</v>
      </c>
      <c r="M486" s="6" t="s">
        <v>45</v>
      </c>
      <c r="N486">
        <v>60.04</v>
      </c>
    </row>
    <row r="487" spans="1:14" x14ac:dyDescent="0.35">
      <c r="A487" s="6" t="s">
        <v>1867</v>
      </c>
      <c r="B487" s="7">
        <v>45139</v>
      </c>
      <c r="C487" s="6" t="s">
        <v>1868</v>
      </c>
      <c r="D487" s="6" t="s">
        <v>41</v>
      </c>
      <c r="E487">
        <v>3</v>
      </c>
      <c r="F487">
        <v>404.79</v>
      </c>
      <c r="G487" s="6" t="s">
        <v>1869</v>
      </c>
      <c r="H487" s="6" t="s">
        <v>65</v>
      </c>
      <c r="I487" s="6" t="s">
        <v>19</v>
      </c>
      <c r="J487" s="6" t="s">
        <v>1870</v>
      </c>
      <c r="K487">
        <v>6</v>
      </c>
      <c r="L487" s="6" t="s">
        <v>21</v>
      </c>
      <c r="M487" s="6" t="s">
        <v>22</v>
      </c>
      <c r="N487">
        <v>1214.3699999999999</v>
      </c>
    </row>
    <row r="488" spans="1:14" x14ac:dyDescent="0.35">
      <c r="A488" s="6" t="s">
        <v>1871</v>
      </c>
      <c r="B488" s="7">
        <v>44960</v>
      </c>
      <c r="C488" s="6" t="s">
        <v>1872</v>
      </c>
      <c r="D488" s="6" t="s">
        <v>48</v>
      </c>
      <c r="E488">
        <v>4</v>
      </c>
      <c r="F488">
        <v>611.26</v>
      </c>
      <c r="G488" s="6" t="s">
        <v>1525</v>
      </c>
      <c r="H488" s="6" t="s">
        <v>65</v>
      </c>
      <c r="I488" s="6" t="s">
        <v>19</v>
      </c>
      <c r="J488" s="6" t="s">
        <v>1873</v>
      </c>
      <c r="K488">
        <v>5</v>
      </c>
      <c r="L488" s="6" t="s">
        <v>21</v>
      </c>
      <c r="M488" s="6" t="s">
        <v>29</v>
      </c>
      <c r="N488">
        <v>2445.04</v>
      </c>
    </row>
    <row r="489" spans="1:14" x14ac:dyDescent="0.35">
      <c r="A489" s="6" t="s">
        <v>1874</v>
      </c>
      <c r="B489" s="7">
        <v>44994</v>
      </c>
      <c r="C489" s="6" t="s">
        <v>1875</v>
      </c>
      <c r="D489" s="6" t="s">
        <v>48</v>
      </c>
      <c r="E489">
        <v>3</v>
      </c>
      <c r="F489">
        <v>346.52</v>
      </c>
      <c r="G489" s="6" t="s">
        <v>1876</v>
      </c>
      <c r="H489" s="6" t="s">
        <v>34</v>
      </c>
      <c r="I489" s="6" t="s">
        <v>89</v>
      </c>
      <c r="J489" s="6" t="s">
        <v>1877</v>
      </c>
      <c r="K489">
        <v>3</v>
      </c>
      <c r="L489" s="6" t="s">
        <v>21</v>
      </c>
      <c r="M489" s="6" t="s">
        <v>76</v>
      </c>
      <c r="N489">
        <v>1039.56</v>
      </c>
    </row>
    <row r="490" spans="1:14" x14ac:dyDescent="0.35">
      <c r="A490" s="6" t="s">
        <v>1878</v>
      </c>
      <c r="B490" s="7">
        <v>45631</v>
      </c>
      <c r="C490" s="6" t="s">
        <v>1879</v>
      </c>
      <c r="D490" s="6" t="s">
        <v>41</v>
      </c>
      <c r="E490">
        <v>1</v>
      </c>
      <c r="F490">
        <v>36.65</v>
      </c>
      <c r="G490" s="6" t="s">
        <v>1880</v>
      </c>
      <c r="H490" s="6" t="s">
        <v>27</v>
      </c>
      <c r="I490" s="6" t="s">
        <v>35</v>
      </c>
      <c r="J490" s="6" t="s">
        <v>1881</v>
      </c>
      <c r="K490">
        <v>1</v>
      </c>
      <c r="L490" s="6" t="s">
        <v>81</v>
      </c>
      <c r="M490" s="6" t="s">
        <v>38</v>
      </c>
      <c r="N490">
        <v>36.65</v>
      </c>
    </row>
    <row r="491" spans="1:14" x14ac:dyDescent="0.35">
      <c r="A491" s="6" t="s">
        <v>1882</v>
      </c>
      <c r="B491" s="7">
        <v>45174</v>
      </c>
      <c r="C491" s="6" t="s">
        <v>1883</v>
      </c>
      <c r="D491" s="6" t="s">
        <v>32</v>
      </c>
      <c r="E491">
        <v>3</v>
      </c>
      <c r="F491">
        <v>149.34</v>
      </c>
      <c r="G491" s="6" t="s">
        <v>1066</v>
      </c>
      <c r="H491" s="6" t="s">
        <v>60</v>
      </c>
      <c r="I491" s="6" t="s">
        <v>35</v>
      </c>
      <c r="J491" s="6" t="s">
        <v>1884</v>
      </c>
      <c r="K491">
        <v>7</v>
      </c>
      <c r="L491" s="6" t="s">
        <v>81</v>
      </c>
      <c r="M491" s="6" t="s">
        <v>38</v>
      </c>
      <c r="N491">
        <v>448.02</v>
      </c>
    </row>
    <row r="492" spans="1:14" x14ac:dyDescent="0.35">
      <c r="A492" s="6" t="s">
        <v>1885</v>
      </c>
      <c r="B492" s="7">
        <v>45495</v>
      </c>
      <c r="C492" s="6" t="s">
        <v>1886</v>
      </c>
      <c r="D492" s="6" t="s">
        <v>41</v>
      </c>
      <c r="E492">
        <v>5</v>
      </c>
      <c r="F492">
        <v>467.81</v>
      </c>
      <c r="G492" s="6" t="s">
        <v>1887</v>
      </c>
      <c r="H492" s="6" t="s">
        <v>27</v>
      </c>
      <c r="I492" s="6" t="s">
        <v>35</v>
      </c>
      <c r="J492" s="6" t="s">
        <v>1888</v>
      </c>
      <c r="K492">
        <v>10</v>
      </c>
      <c r="L492" s="6" t="s">
        <v>4283</v>
      </c>
      <c r="M492" s="6" t="s">
        <v>45</v>
      </c>
      <c r="N492">
        <v>2339.0500000000002</v>
      </c>
    </row>
    <row r="493" spans="1:14" x14ac:dyDescent="0.35">
      <c r="A493" s="6" t="s">
        <v>1889</v>
      </c>
      <c r="B493" s="7">
        <v>44931</v>
      </c>
      <c r="C493" s="6" t="s">
        <v>1890</v>
      </c>
      <c r="D493" s="6" t="s">
        <v>25</v>
      </c>
      <c r="E493">
        <v>5</v>
      </c>
      <c r="F493">
        <v>420.7</v>
      </c>
      <c r="G493" s="6" t="s">
        <v>1842</v>
      </c>
      <c r="H493" s="6" t="s">
        <v>65</v>
      </c>
      <c r="I493" s="6" t="s">
        <v>89</v>
      </c>
      <c r="J493" s="6" t="s">
        <v>1891</v>
      </c>
      <c r="K493">
        <v>5</v>
      </c>
      <c r="L493" s="6" t="s">
        <v>81</v>
      </c>
      <c r="M493" s="6" t="s">
        <v>45</v>
      </c>
      <c r="N493">
        <v>2103.5</v>
      </c>
    </row>
    <row r="494" spans="1:14" x14ac:dyDescent="0.35">
      <c r="A494" s="6" t="s">
        <v>1892</v>
      </c>
      <c r="B494" s="7">
        <v>45224</v>
      </c>
      <c r="C494" s="6" t="s">
        <v>1893</v>
      </c>
      <c r="D494" s="6" t="s">
        <v>58</v>
      </c>
      <c r="E494">
        <v>5</v>
      </c>
      <c r="F494">
        <v>606.52</v>
      </c>
      <c r="G494" s="6" t="s">
        <v>351</v>
      </c>
      <c r="H494" s="6" t="s">
        <v>18</v>
      </c>
      <c r="I494" s="6" t="s">
        <v>19</v>
      </c>
      <c r="J494" s="6" t="s">
        <v>1894</v>
      </c>
      <c r="K494">
        <v>6</v>
      </c>
      <c r="L494" s="6" t="s">
        <v>21</v>
      </c>
      <c r="M494" s="6" t="s">
        <v>22</v>
      </c>
      <c r="N494">
        <v>3032.6</v>
      </c>
    </row>
    <row r="495" spans="1:14" x14ac:dyDescent="0.35">
      <c r="A495" s="6" t="s">
        <v>1895</v>
      </c>
      <c r="B495" s="7">
        <v>45685</v>
      </c>
      <c r="C495" s="6" t="s">
        <v>1896</v>
      </c>
      <c r="D495" s="6" t="s">
        <v>25</v>
      </c>
      <c r="E495">
        <v>1</v>
      </c>
      <c r="F495">
        <v>420.26</v>
      </c>
      <c r="G495" s="6" t="s">
        <v>1897</v>
      </c>
      <c r="H495" s="6" t="s">
        <v>34</v>
      </c>
      <c r="I495" s="6" t="s">
        <v>89</v>
      </c>
      <c r="J495" s="6" t="s">
        <v>1898</v>
      </c>
      <c r="K495">
        <v>4</v>
      </c>
      <c r="L495" s="6" t="s">
        <v>37</v>
      </c>
      <c r="M495" s="6" t="s">
        <v>45</v>
      </c>
      <c r="N495">
        <v>420.26</v>
      </c>
    </row>
    <row r="496" spans="1:14" x14ac:dyDescent="0.35">
      <c r="A496" s="6" t="s">
        <v>1899</v>
      </c>
      <c r="B496" s="7">
        <v>45126</v>
      </c>
      <c r="C496" s="6" t="s">
        <v>1900</v>
      </c>
      <c r="D496" s="6" t="s">
        <v>58</v>
      </c>
      <c r="E496">
        <v>3</v>
      </c>
      <c r="F496">
        <v>505.79</v>
      </c>
      <c r="G496" s="6" t="s">
        <v>1901</v>
      </c>
      <c r="H496" s="6" t="s">
        <v>18</v>
      </c>
      <c r="I496" s="6" t="s">
        <v>89</v>
      </c>
      <c r="J496" s="6" t="s">
        <v>1902</v>
      </c>
      <c r="K496">
        <v>3</v>
      </c>
      <c r="L496" s="6" t="s">
        <v>37</v>
      </c>
      <c r="M496" s="6" t="s">
        <v>29</v>
      </c>
      <c r="N496">
        <v>1517.37</v>
      </c>
    </row>
    <row r="497" spans="1:14" x14ac:dyDescent="0.35">
      <c r="A497" s="6" t="s">
        <v>1903</v>
      </c>
      <c r="B497" s="7">
        <v>45813</v>
      </c>
      <c r="C497" s="6" t="s">
        <v>1904</v>
      </c>
      <c r="D497" s="6" t="s">
        <v>25</v>
      </c>
      <c r="E497">
        <v>4</v>
      </c>
      <c r="F497">
        <v>493.73</v>
      </c>
      <c r="G497" s="6" t="s">
        <v>634</v>
      </c>
      <c r="H497" s="6" t="s">
        <v>18</v>
      </c>
      <c r="I497" s="6" t="s">
        <v>89</v>
      </c>
      <c r="J497" s="6" t="s">
        <v>1905</v>
      </c>
      <c r="K497">
        <v>6</v>
      </c>
      <c r="L497" s="6" t="s">
        <v>21</v>
      </c>
      <c r="M497" s="6" t="s">
        <v>45</v>
      </c>
      <c r="N497">
        <v>1974.92</v>
      </c>
    </row>
    <row r="498" spans="1:14" x14ac:dyDescent="0.35">
      <c r="A498" s="6" t="s">
        <v>1906</v>
      </c>
      <c r="B498" s="7">
        <v>45730</v>
      </c>
      <c r="C498" s="6" t="s">
        <v>1907</v>
      </c>
      <c r="D498" s="6" t="s">
        <v>48</v>
      </c>
      <c r="E498">
        <v>3</v>
      </c>
      <c r="F498">
        <v>201.21</v>
      </c>
      <c r="G498" s="6" t="s">
        <v>1908</v>
      </c>
      <c r="H498" s="6" t="s">
        <v>27</v>
      </c>
      <c r="I498" s="6" t="s">
        <v>35</v>
      </c>
      <c r="J498" s="6" t="s">
        <v>1909</v>
      </c>
      <c r="K498">
        <v>3</v>
      </c>
      <c r="L498" s="6" t="s">
        <v>21</v>
      </c>
      <c r="M498" s="6" t="s">
        <v>76</v>
      </c>
      <c r="N498">
        <v>603.63</v>
      </c>
    </row>
    <row r="499" spans="1:14" x14ac:dyDescent="0.35">
      <c r="A499" s="6" t="s">
        <v>1910</v>
      </c>
      <c r="B499" s="7">
        <v>45589</v>
      </c>
      <c r="C499" s="6" t="s">
        <v>1911</v>
      </c>
      <c r="D499" s="6" t="s">
        <v>48</v>
      </c>
      <c r="E499">
        <v>3</v>
      </c>
      <c r="F499">
        <v>112.29</v>
      </c>
      <c r="G499" s="6" t="s">
        <v>1912</v>
      </c>
      <c r="H499" s="6" t="s">
        <v>60</v>
      </c>
      <c r="I499" s="6" t="s">
        <v>19</v>
      </c>
      <c r="J499" s="6" t="s">
        <v>1913</v>
      </c>
      <c r="K499">
        <v>6</v>
      </c>
      <c r="L499" s="6" t="s">
        <v>4283</v>
      </c>
      <c r="M499" s="6" t="s">
        <v>76</v>
      </c>
      <c r="N499">
        <v>336.87</v>
      </c>
    </row>
    <row r="500" spans="1:14" x14ac:dyDescent="0.35">
      <c r="A500" s="6" t="s">
        <v>1914</v>
      </c>
      <c r="B500" s="7">
        <v>45119</v>
      </c>
      <c r="C500" s="6" t="s">
        <v>1915</v>
      </c>
      <c r="D500" s="6" t="s">
        <v>32</v>
      </c>
      <c r="E500">
        <v>4</v>
      </c>
      <c r="F500">
        <v>132.56</v>
      </c>
      <c r="G500" s="6" t="s">
        <v>988</v>
      </c>
      <c r="H500" s="6" t="s">
        <v>65</v>
      </c>
      <c r="I500" s="6" t="s">
        <v>43</v>
      </c>
      <c r="J500" s="6" t="s">
        <v>1916</v>
      </c>
      <c r="K500">
        <v>8</v>
      </c>
      <c r="L500" s="6" t="s">
        <v>81</v>
      </c>
      <c r="M500" s="6" t="s">
        <v>22</v>
      </c>
      <c r="N500">
        <v>530.24</v>
      </c>
    </row>
    <row r="501" spans="1:14" x14ac:dyDescent="0.35">
      <c r="A501" s="6" t="s">
        <v>1917</v>
      </c>
      <c r="B501" s="7">
        <v>45022</v>
      </c>
      <c r="C501" s="6" t="s">
        <v>1918</v>
      </c>
      <c r="D501" s="6" t="s">
        <v>48</v>
      </c>
      <c r="E501">
        <v>3</v>
      </c>
      <c r="F501">
        <v>539.46</v>
      </c>
      <c r="G501" s="6" t="s">
        <v>1919</v>
      </c>
      <c r="H501" s="6" t="s">
        <v>34</v>
      </c>
      <c r="I501" s="6" t="s">
        <v>19</v>
      </c>
      <c r="J501" s="6" t="s">
        <v>1920</v>
      </c>
      <c r="K501">
        <v>4</v>
      </c>
      <c r="L501" s="6" t="s">
        <v>21</v>
      </c>
      <c r="M501" s="6" t="s">
        <v>45</v>
      </c>
      <c r="N501">
        <v>1618.38</v>
      </c>
    </row>
    <row r="502" spans="1:14" x14ac:dyDescent="0.35">
      <c r="A502" s="6" t="s">
        <v>1921</v>
      </c>
      <c r="B502" s="7">
        <v>45389</v>
      </c>
      <c r="C502" s="6" t="s">
        <v>1922</v>
      </c>
      <c r="D502" s="6" t="s">
        <v>58</v>
      </c>
      <c r="E502">
        <v>5</v>
      </c>
      <c r="F502">
        <v>508.59</v>
      </c>
      <c r="G502" s="6" t="s">
        <v>1923</v>
      </c>
      <c r="H502" s="6" t="s">
        <v>65</v>
      </c>
      <c r="I502" s="6" t="s">
        <v>43</v>
      </c>
      <c r="J502" s="6" t="s">
        <v>1924</v>
      </c>
      <c r="K502">
        <v>8</v>
      </c>
      <c r="L502" s="6" t="s">
        <v>81</v>
      </c>
      <c r="M502" s="6" t="s">
        <v>45</v>
      </c>
      <c r="N502">
        <v>2542.9499999999998</v>
      </c>
    </row>
    <row r="503" spans="1:14" x14ac:dyDescent="0.35">
      <c r="A503" s="6" t="s">
        <v>1925</v>
      </c>
      <c r="B503" s="7">
        <v>45326</v>
      </c>
      <c r="C503" s="6" t="s">
        <v>1926</v>
      </c>
      <c r="D503" s="6" t="s">
        <v>73</v>
      </c>
      <c r="E503">
        <v>4</v>
      </c>
      <c r="F503">
        <v>203.46</v>
      </c>
      <c r="G503" s="6" t="s">
        <v>685</v>
      </c>
      <c r="H503" s="6" t="s">
        <v>34</v>
      </c>
      <c r="I503" s="6" t="s">
        <v>89</v>
      </c>
      <c r="J503" s="6" t="s">
        <v>1927</v>
      </c>
      <c r="K503">
        <v>7</v>
      </c>
      <c r="L503" s="6" t="s">
        <v>21</v>
      </c>
      <c r="M503" s="6" t="s">
        <v>29</v>
      </c>
      <c r="N503">
        <v>813.84</v>
      </c>
    </row>
    <row r="504" spans="1:14" x14ac:dyDescent="0.35">
      <c r="A504" s="6" t="s">
        <v>1928</v>
      </c>
      <c r="B504" s="7">
        <v>45066</v>
      </c>
      <c r="C504" s="6" t="s">
        <v>1929</v>
      </c>
      <c r="D504" s="6" t="s">
        <v>16</v>
      </c>
      <c r="E504">
        <v>3</v>
      </c>
      <c r="F504">
        <v>565.25</v>
      </c>
      <c r="G504" s="6" t="s">
        <v>1930</v>
      </c>
      <c r="H504" s="6" t="s">
        <v>18</v>
      </c>
      <c r="I504" s="6" t="s">
        <v>43</v>
      </c>
      <c r="J504" s="6" t="s">
        <v>1931</v>
      </c>
      <c r="K504">
        <v>7</v>
      </c>
      <c r="L504" s="6" t="s">
        <v>21</v>
      </c>
      <c r="M504" s="6" t="s">
        <v>38</v>
      </c>
      <c r="N504">
        <v>1695.75</v>
      </c>
    </row>
    <row r="505" spans="1:14" x14ac:dyDescent="0.35">
      <c r="A505" s="6" t="s">
        <v>1932</v>
      </c>
      <c r="B505" s="7">
        <v>45169</v>
      </c>
      <c r="C505" s="6" t="s">
        <v>1933</v>
      </c>
      <c r="D505" s="6" t="s">
        <v>32</v>
      </c>
      <c r="E505">
        <v>3</v>
      </c>
      <c r="F505">
        <v>136.84</v>
      </c>
      <c r="G505" s="6" t="s">
        <v>1934</v>
      </c>
      <c r="H505" s="6" t="s">
        <v>27</v>
      </c>
      <c r="I505" s="6" t="s">
        <v>89</v>
      </c>
      <c r="J505" s="6" t="s">
        <v>1935</v>
      </c>
      <c r="K505">
        <v>4</v>
      </c>
      <c r="L505" s="6" t="s">
        <v>37</v>
      </c>
      <c r="M505" s="6" t="s">
        <v>45</v>
      </c>
      <c r="N505">
        <v>410.52</v>
      </c>
    </row>
    <row r="506" spans="1:14" x14ac:dyDescent="0.35">
      <c r="A506" s="6" t="s">
        <v>1936</v>
      </c>
      <c r="B506" s="7">
        <v>45819</v>
      </c>
      <c r="C506" s="6" t="s">
        <v>1937</v>
      </c>
      <c r="D506" s="6" t="s">
        <v>16</v>
      </c>
      <c r="E506">
        <v>2</v>
      </c>
      <c r="F506">
        <v>464.5</v>
      </c>
      <c r="G506" s="6" t="s">
        <v>1938</v>
      </c>
      <c r="H506" s="6" t="s">
        <v>27</v>
      </c>
      <c r="I506" s="6" t="s">
        <v>35</v>
      </c>
      <c r="J506" s="6" t="s">
        <v>1939</v>
      </c>
      <c r="K506">
        <v>2</v>
      </c>
      <c r="L506" s="6" t="s">
        <v>81</v>
      </c>
      <c r="M506" s="6" t="s">
        <v>22</v>
      </c>
      <c r="N506">
        <v>929</v>
      </c>
    </row>
    <row r="507" spans="1:14" x14ac:dyDescent="0.35">
      <c r="A507" s="6" t="s">
        <v>1940</v>
      </c>
      <c r="B507" s="7">
        <v>45088</v>
      </c>
      <c r="C507" s="6" t="s">
        <v>1941</v>
      </c>
      <c r="D507" s="6" t="s">
        <v>48</v>
      </c>
      <c r="E507">
        <v>2</v>
      </c>
      <c r="F507">
        <v>434.97</v>
      </c>
      <c r="G507" s="6" t="s">
        <v>1525</v>
      </c>
      <c r="H507" s="6" t="s">
        <v>27</v>
      </c>
      <c r="I507" s="6" t="s">
        <v>19</v>
      </c>
      <c r="J507" s="6" t="s">
        <v>1942</v>
      </c>
      <c r="K507">
        <v>7</v>
      </c>
      <c r="L507" s="6" t="s">
        <v>4283</v>
      </c>
      <c r="M507" s="6" t="s">
        <v>38</v>
      </c>
      <c r="N507">
        <v>869.94</v>
      </c>
    </row>
    <row r="508" spans="1:14" x14ac:dyDescent="0.35">
      <c r="A508" s="6" t="s">
        <v>1943</v>
      </c>
      <c r="B508" s="7">
        <v>45132</v>
      </c>
      <c r="C508" s="6" t="s">
        <v>1944</v>
      </c>
      <c r="D508" s="6" t="s">
        <v>16</v>
      </c>
      <c r="E508">
        <v>2</v>
      </c>
      <c r="F508">
        <v>43.67</v>
      </c>
      <c r="G508" s="6" t="s">
        <v>1945</v>
      </c>
      <c r="H508" s="6" t="s">
        <v>65</v>
      </c>
      <c r="I508" s="6" t="s">
        <v>43</v>
      </c>
      <c r="J508" s="6" t="s">
        <v>1946</v>
      </c>
      <c r="K508">
        <v>4</v>
      </c>
      <c r="L508" s="6" t="s">
        <v>81</v>
      </c>
      <c r="M508" s="6" t="s">
        <v>22</v>
      </c>
      <c r="N508">
        <v>87.34</v>
      </c>
    </row>
    <row r="509" spans="1:14" x14ac:dyDescent="0.35">
      <c r="A509" s="6" t="s">
        <v>1947</v>
      </c>
      <c r="B509" s="7">
        <v>45112</v>
      </c>
      <c r="C509" s="6" t="s">
        <v>1948</v>
      </c>
      <c r="D509" s="6" t="s">
        <v>25</v>
      </c>
      <c r="E509">
        <v>1</v>
      </c>
      <c r="F509">
        <v>171.59</v>
      </c>
      <c r="G509" s="6" t="s">
        <v>1299</v>
      </c>
      <c r="H509" s="6" t="s">
        <v>34</v>
      </c>
      <c r="I509" s="6" t="s">
        <v>89</v>
      </c>
      <c r="J509" s="6" t="s">
        <v>1949</v>
      </c>
      <c r="K509">
        <v>5</v>
      </c>
      <c r="L509" s="6" t="s">
        <v>81</v>
      </c>
      <c r="M509" s="6" t="s">
        <v>38</v>
      </c>
      <c r="N509">
        <v>171.59</v>
      </c>
    </row>
    <row r="510" spans="1:14" x14ac:dyDescent="0.35">
      <c r="A510" s="6" t="s">
        <v>1950</v>
      </c>
      <c r="B510" s="7">
        <v>45791</v>
      </c>
      <c r="C510" s="6" t="s">
        <v>1951</v>
      </c>
      <c r="D510" s="6" t="s">
        <v>25</v>
      </c>
      <c r="E510">
        <v>1</v>
      </c>
      <c r="F510">
        <v>558.27</v>
      </c>
      <c r="G510" s="6" t="s">
        <v>1952</v>
      </c>
      <c r="H510" s="6" t="s">
        <v>27</v>
      </c>
      <c r="I510" s="6" t="s">
        <v>50</v>
      </c>
      <c r="J510" s="6" t="s">
        <v>1953</v>
      </c>
      <c r="K510">
        <v>1</v>
      </c>
      <c r="L510" s="6" t="s">
        <v>4283</v>
      </c>
      <c r="M510" s="6" t="s">
        <v>29</v>
      </c>
      <c r="N510">
        <v>558.27</v>
      </c>
    </row>
    <row r="511" spans="1:14" x14ac:dyDescent="0.35">
      <c r="A511" s="6" t="s">
        <v>1954</v>
      </c>
      <c r="B511" s="7">
        <v>44972</v>
      </c>
      <c r="C511" s="6" t="s">
        <v>1955</v>
      </c>
      <c r="D511" s="6" t="s">
        <v>58</v>
      </c>
      <c r="E511">
        <v>2</v>
      </c>
      <c r="F511">
        <v>425.03</v>
      </c>
      <c r="G511" s="6" t="s">
        <v>1956</v>
      </c>
      <c r="H511" s="6" t="s">
        <v>65</v>
      </c>
      <c r="I511" s="6" t="s">
        <v>43</v>
      </c>
      <c r="J511" s="6" t="s">
        <v>1957</v>
      </c>
      <c r="K511">
        <v>2</v>
      </c>
      <c r="L511" s="6" t="s">
        <v>81</v>
      </c>
      <c r="M511" s="6" t="s">
        <v>76</v>
      </c>
      <c r="N511">
        <v>850.06</v>
      </c>
    </row>
    <row r="512" spans="1:14" x14ac:dyDescent="0.35">
      <c r="A512" s="6" t="s">
        <v>1958</v>
      </c>
      <c r="B512" s="7">
        <v>45642</v>
      </c>
      <c r="C512" s="6" t="s">
        <v>1959</v>
      </c>
      <c r="D512" s="6" t="s">
        <v>48</v>
      </c>
      <c r="E512">
        <v>1</v>
      </c>
      <c r="F512">
        <v>376.76</v>
      </c>
      <c r="G512" s="6" t="s">
        <v>1960</v>
      </c>
      <c r="H512" s="6" t="s">
        <v>18</v>
      </c>
      <c r="I512" s="6" t="s">
        <v>50</v>
      </c>
      <c r="J512" s="6" t="s">
        <v>1961</v>
      </c>
      <c r="K512">
        <v>5</v>
      </c>
      <c r="L512" s="6" t="s">
        <v>21</v>
      </c>
      <c r="M512" s="6" t="s">
        <v>38</v>
      </c>
      <c r="N512">
        <v>376.76</v>
      </c>
    </row>
    <row r="513" spans="1:14" x14ac:dyDescent="0.35">
      <c r="A513" s="6" t="s">
        <v>1962</v>
      </c>
      <c r="B513" s="7">
        <v>45366</v>
      </c>
      <c r="C513" s="6" t="s">
        <v>1963</v>
      </c>
      <c r="D513" s="6" t="s">
        <v>16</v>
      </c>
      <c r="E513">
        <v>5</v>
      </c>
      <c r="F513">
        <v>575.24</v>
      </c>
      <c r="G513" s="6" t="s">
        <v>201</v>
      </c>
      <c r="H513" s="6" t="s">
        <v>65</v>
      </c>
      <c r="I513" s="6" t="s">
        <v>50</v>
      </c>
      <c r="J513" s="6" t="s">
        <v>1964</v>
      </c>
      <c r="K513">
        <v>7</v>
      </c>
      <c r="L513" s="6" t="s">
        <v>81</v>
      </c>
      <c r="M513" s="6" t="s">
        <v>38</v>
      </c>
      <c r="N513">
        <v>2876.2</v>
      </c>
    </row>
    <row r="514" spans="1:14" x14ac:dyDescent="0.35">
      <c r="A514" s="6" t="s">
        <v>1965</v>
      </c>
      <c r="B514" s="7">
        <v>45562</v>
      </c>
      <c r="C514" s="6" t="s">
        <v>1966</v>
      </c>
      <c r="D514" s="6" t="s">
        <v>73</v>
      </c>
      <c r="E514">
        <v>3</v>
      </c>
      <c r="F514">
        <v>568.02</v>
      </c>
      <c r="G514" s="6" t="s">
        <v>1190</v>
      </c>
      <c r="H514" s="6" t="s">
        <v>27</v>
      </c>
      <c r="I514" s="6" t="s">
        <v>89</v>
      </c>
      <c r="J514" s="6" t="s">
        <v>1967</v>
      </c>
      <c r="K514">
        <v>3</v>
      </c>
      <c r="L514" s="6" t="s">
        <v>37</v>
      </c>
      <c r="M514" s="6" t="s">
        <v>22</v>
      </c>
      <c r="N514">
        <v>1704.06</v>
      </c>
    </row>
    <row r="515" spans="1:14" x14ac:dyDescent="0.35">
      <c r="A515" s="6" t="s">
        <v>1968</v>
      </c>
      <c r="B515" s="7">
        <v>45697</v>
      </c>
      <c r="C515" s="6" t="s">
        <v>1969</v>
      </c>
      <c r="D515" s="6" t="s">
        <v>32</v>
      </c>
      <c r="E515">
        <v>3</v>
      </c>
      <c r="F515">
        <v>94.88</v>
      </c>
      <c r="G515" s="6" t="s">
        <v>426</v>
      </c>
      <c r="H515" s="6" t="s">
        <v>60</v>
      </c>
      <c r="I515" s="6" t="s">
        <v>19</v>
      </c>
      <c r="J515" s="6" t="s">
        <v>1970</v>
      </c>
      <c r="K515">
        <v>8</v>
      </c>
      <c r="L515" s="6" t="s">
        <v>4283</v>
      </c>
      <c r="M515" s="6" t="s">
        <v>29</v>
      </c>
      <c r="N515">
        <v>284.64</v>
      </c>
    </row>
    <row r="516" spans="1:14" x14ac:dyDescent="0.35">
      <c r="A516" s="6" t="s">
        <v>1971</v>
      </c>
      <c r="B516" s="7">
        <v>45032</v>
      </c>
      <c r="C516" s="6" t="s">
        <v>1972</v>
      </c>
      <c r="D516" s="6" t="s">
        <v>48</v>
      </c>
      <c r="E516">
        <v>3</v>
      </c>
      <c r="F516">
        <v>304.14999999999998</v>
      </c>
      <c r="G516" s="6" t="s">
        <v>1754</v>
      </c>
      <c r="H516" s="6" t="s">
        <v>60</v>
      </c>
      <c r="I516" s="6" t="s">
        <v>19</v>
      </c>
      <c r="J516" s="6" t="s">
        <v>1973</v>
      </c>
      <c r="K516">
        <v>3</v>
      </c>
      <c r="L516" s="6" t="s">
        <v>81</v>
      </c>
      <c r="M516" s="6" t="s">
        <v>22</v>
      </c>
      <c r="N516">
        <v>912.45</v>
      </c>
    </row>
    <row r="517" spans="1:14" x14ac:dyDescent="0.35">
      <c r="A517" s="6" t="s">
        <v>1974</v>
      </c>
      <c r="B517" s="7">
        <v>44999</v>
      </c>
      <c r="C517" s="6" t="s">
        <v>1975</v>
      </c>
      <c r="D517" s="6" t="s">
        <v>25</v>
      </c>
      <c r="E517">
        <v>3</v>
      </c>
      <c r="F517">
        <v>553.52</v>
      </c>
      <c r="G517" s="6" t="s">
        <v>1743</v>
      </c>
      <c r="H517" s="6" t="s">
        <v>60</v>
      </c>
      <c r="I517" s="6" t="s">
        <v>19</v>
      </c>
      <c r="J517" s="6" t="s">
        <v>1976</v>
      </c>
      <c r="K517">
        <v>4</v>
      </c>
      <c r="L517" s="6" t="s">
        <v>37</v>
      </c>
      <c r="M517" s="6" t="s">
        <v>45</v>
      </c>
      <c r="N517">
        <v>1660.56</v>
      </c>
    </row>
    <row r="518" spans="1:14" x14ac:dyDescent="0.35">
      <c r="A518" s="6" t="s">
        <v>1977</v>
      </c>
      <c r="B518" s="7">
        <v>45389</v>
      </c>
      <c r="C518" s="6" t="s">
        <v>1978</v>
      </c>
      <c r="D518" s="6" t="s">
        <v>16</v>
      </c>
      <c r="E518">
        <v>3</v>
      </c>
      <c r="F518">
        <v>166.99</v>
      </c>
      <c r="G518" s="6" t="s">
        <v>1172</v>
      </c>
      <c r="H518" s="6" t="s">
        <v>65</v>
      </c>
      <c r="I518" s="6" t="s">
        <v>43</v>
      </c>
      <c r="J518" s="6" t="s">
        <v>1979</v>
      </c>
      <c r="K518">
        <v>8</v>
      </c>
      <c r="L518" s="6" t="s">
        <v>4283</v>
      </c>
      <c r="M518" s="6" t="s">
        <v>45</v>
      </c>
      <c r="N518">
        <v>500.97</v>
      </c>
    </row>
    <row r="519" spans="1:14" x14ac:dyDescent="0.35">
      <c r="A519" s="6" t="s">
        <v>1980</v>
      </c>
      <c r="B519" s="7">
        <v>45391</v>
      </c>
      <c r="C519" s="6" t="s">
        <v>1981</v>
      </c>
      <c r="D519" s="6" t="s">
        <v>32</v>
      </c>
      <c r="E519">
        <v>4</v>
      </c>
      <c r="F519">
        <v>198.35</v>
      </c>
      <c r="G519" s="6" t="s">
        <v>1849</v>
      </c>
      <c r="H519" s="6" t="s">
        <v>65</v>
      </c>
      <c r="I519" s="6" t="s">
        <v>35</v>
      </c>
      <c r="J519" s="6" t="s">
        <v>1982</v>
      </c>
      <c r="K519">
        <v>7</v>
      </c>
      <c r="L519" s="6" t="s">
        <v>37</v>
      </c>
      <c r="M519" s="6" t="s">
        <v>76</v>
      </c>
      <c r="N519">
        <v>793.4</v>
      </c>
    </row>
    <row r="520" spans="1:14" x14ac:dyDescent="0.35">
      <c r="A520" s="6" t="s">
        <v>1983</v>
      </c>
      <c r="B520" s="7">
        <v>45821</v>
      </c>
      <c r="C520" s="6" t="s">
        <v>1984</v>
      </c>
      <c r="D520" s="6" t="s">
        <v>48</v>
      </c>
      <c r="E520">
        <v>4</v>
      </c>
      <c r="F520">
        <v>403.58</v>
      </c>
      <c r="G520" s="6" t="s">
        <v>1560</v>
      </c>
      <c r="H520" s="6" t="s">
        <v>27</v>
      </c>
      <c r="I520" s="6" t="s">
        <v>89</v>
      </c>
      <c r="J520" s="6" t="s">
        <v>1985</v>
      </c>
      <c r="K520">
        <v>9</v>
      </c>
      <c r="L520" s="6" t="s">
        <v>21</v>
      </c>
      <c r="M520" s="6" t="s">
        <v>29</v>
      </c>
      <c r="N520">
        <v>1614.32</v>
      </c>
    </row>
    <row r="521" spans="1:14" x14ac:dyDescent="0.35">
      <c r="A521" s="6" t="s">
        <v>1986</v>
      </c>
      <c r="B521" s="7">
        <v>45787</v>
      </c>
      <c r="C521" s="6" t="s">
        <v>1987</v>
      </c>
      <c r="D521" s="6" t="s">
        <v>58</v>
      </c>
      <c r="E521">
        <v>4</v>
      </c>
      <c r="F521">
        <v>464.29</v>
      </c>
      <c r="G521" s="6" t="s">
        <v>1988</v>
      </c>
      <c r="H521" s="6" t="s">
        <v>18</v>
      </c>
      <c r="I521" s="6" t="s">
        <v>43</v>
      </c>
      <c r="J521" s="6" t="s">
        <v>1989</v>
      </c>
      <c r="K521">
        <v>5</v>
      </c>
      <c r="L521" s="6" t="s">
        <v>21</v>
      </c>
      <c r="M521" s="6" t="s">
        <v>38</v>
      </c>
      <c r="N521">
        <v>1857.16</v>
      </c>
    </row>
    <row r="522" spans="1:14" x14ac:dyDescent="0.35">
      <c r="A522" s="6" t="s">
        <v>1990</v>
      </c>
      <c r="B522" s="7">
        <v>44995</v>
      </c>
      <c r="C522" s="6" t="s">
        <v>1991</v>
      </c>
      <c r="D522" s="6" t="s">
        <v>16</v>
      </c>
      <c r="E522">
        <v>3</v>
      </c>
      <c r="F522">
        <v>635.98</v>
      </c>
      <c r="G522" s="6" t="s">
        <v>1992</v>
      </c>
      <c r="H522" s="6" t="s">
        <v>65</v>
      </c>
      <c r="I522" s="6" t="s">
        <v>43</v>
      </c>
      <c r="J522" s="6" t="s">
        <v>1993</v>
      </c>
      <c r="K522">
        <v>5</v>
      </c>
      <c r="L522" s="6" t="s">
        <v>4283</v>
      </c>
      <c r="M522" s="6" t="s">
        <v>29</v>
      </c>
      <c r="N522">
        <v>1907.94</v>
      </c>
    </row>
    <row r="523" spans="1:14" x14ac:dyDescent="0.35">
      <c r="A523" s="6" t="s">
        <v>1994</v>
      </c>
      <c r="B523" s="7">
        <v>45347</v>
      </c>
      <c r="C523" s="6" t="s">
        <v>1995</v>
      </c>
      <c r="D523" s="6" t="s">
        <v>25</v>
      </c>
      <c r="E523">
        <v>1</v>
      </c>
      <c r="F523">
        <v>528.05999999999995</v>
      </c>
      <c r="G523" s="6" t="s">
        <v>1996</v>
      </c>
      <c r="H523" s="6" t="s">
        <v>34</v>
      </c>
      <c r="I523" s="6" t="s">
        <v>19</v>
      </c>
      <c r="J523" s="6" t="s">
        <v>1997</v>
      </c>
      <c r="K523">
        <v>2</v>
      </c>
      <c r="L523" s="6" t="s">
        <v>4283</v>
      </c>
      <c r="M523" s="6" t="s">
        <v>45</v>
      </c>
      <c r="N523">
        <v>528.05999999999995</v>
      </c>
    </row>
    <row r="524" spans="1:14" x14ac:dyDescent="0.35">
      <c r="A524" s="6" t="s">
        <v>1998</v>
      </c>
      <c r="B524" s="7">
        <v>45402</v>
      </c>
      <c r="C524" s="6" t="s">
        <v>1999</v>
      </c>
      <c r="D524" s="6" t="s">
        <v>41</v>
      </c>
      <c r="E524">
        <v>1</v>
      </c>
      <c r="F524">
        <v>515.32000000000005</v>
      </c>
      <c r="G524" s="6" t="s">
        <v>1121</v>
      </c>
      <c r="H524" s="6" t="s">
        <v>60</v>
      </c>
      <c r="I524" s="6" t="s">
        <v>35</v>
      </c>
      <c r="J524" s="6" t="s">
        <v>2000</v>
      </c>
      <c r="K524">
        <v>1</v>
      </c>
      <c r="L524" s="6" t="s">
        <v>37</v>
      </c>
      <c r="M524" s="6" t="s">
        <v>38</v>
      </c>
      <c r="N524">
        <v>515.32000000000005</v>
      </c>
    </row>
    <row r="525" spans="1:14" x14ac:dyDescent="0.35">
      <c r="A525" s="6" t="s">
        <v>2001</v>
      </c>
      <c r="B525" s="7">
        <v>45706</v>
      </c>
      <c r="C525" s="6" t="s">
        <v>2002</v>
      </c>
      <c r="D525" s="6" t="s">
        <v>73</v>
      </c>
      <c r="E525">
        <v>4</v>
      </c>
      <c r="F525">
        <v>657.79</v>
      </c>
      <c r="G525" s="6" t="s">
        <v>1620</v>
      </c>
      <c r="H525" s="6" t="s">
        <v>34</v>
      </c>
      <c r="I525" s="6" t="s">
        <v>43</v>
      </c>
      <c r="J525" s="6" t="s">
        <v>2003</v>
      </c>
      <c r="K525">
        <v>6</v>
      </c>
      <c r="L525" s="6" t="s">
        <v>81</v>
      </c>
      <c r="M525" s="6" t="s">
        <v>76</v>
      </c>
      <c r="N525">
        <v>2631.16</v>
      </c>
    </row>
    <row r="526" spans="1:14" x14ac:dyDescent="0.35">
      <c r="A526" s="6" t="s">
        <v>2004</v>
      </c>
      <c r="B526" s="7">
        <v>45224</v>
      </c>
      <c r="C526" s="6" t="s">
        <v>2005</v>
      </c>
      <c r="D526" s="6" t="s">
        <v>25</v>
      </c>
      <c r="E526">
        <v>1</v>
      </c>
      <c r="F526">
        <v>153</v>
      </c>
      <c r="G526" s="6" t="s">
        <v>351</v>
      </c>
      <c r="H526" s="6" t="s">
        <v>34</v>
      </c>
      <c r="I526" s="6" t="s">
        <v>43</v>
      </c>
      <c r="J526" s="6" t="s">
        <v>2006</v>
      </c>
      <c r="K526">
        <v>4</v>
      </c>
      <c r="L526" s="6" t="s">
        <v>4283</v>
      </c>
      <c r="M526" s="6" t="s">
        <v>29</v>
      </c>
      <c r="N526">
        <v>153</v>
      </c>
    </row>
    <row r="527" spans="1:14" x14ac:dyDescent="0.35">
      <c r="A527" s="6" t="s">
        <v>2007</v>
      </c>
      <c r="B527" s="7">
        <v>45263</v>
      </c>
      <c r="C527" s="6" t="s">
        <v>2008</v>
      </c>
      <c r="D527" s="6" t="s">
        <v>16</v>
      </c>
      <c r="E527">
        <v>1</v>
      </c>
      <c r="F527">
        <v>668.48</v>
      </c>
      <c r="G527" s="6" t="s">
        <v>1743</v>
      </c>
      <c r="H527" s="6" t="s">
        <v>18</v>
      </c>
      <c r="I527" s="6" t="s">
        <v>19</v>
      </c>
      <c r="J527" s="6" t="s">
        <v>2009</v>
      </c>
      <c r="K527">
        <v>1</v>
      </c>
      <c r="L527" s="6" t="s">
        <v>21</v>
      </c>
      <c r="M527" s="6" t="s">
        <v>38</v>
      </c>
      <c r="N527">
        <v>668.48</v>
      </c>
    </row>
    <row r="528" spans="1:14" x14ac:dyDescent="0.35">
      <c r="A528" s="6" t="s">
        <v>2010</v>
      </c>
      <c r="B528" s="7">
        <v>45351</v>
      </c>
      <c r="C528" s="6" t="s">
        <v>2011</v>
      </c>
      <c r="D528" s="6" t="s">
        <v>73</v>
      </c>
      <c r="E528">
        <v>2</v>
      </c>
      <c r="F528">
        <v>46.5</v>
      </c>
      <c r="G528" s="6" t="s">
        <v>407</v>
      </c>
      <c r="H528" s="6" t="s">
        <v>65</v>
      </c>
      <c r="I528" s="6" t="s">
        <v>43</v>
      </c>
      <c r="J528" s="6" t="s">
        <v>2012</v>
      </c>
      <c r="K528">
        <v>7</v>
      </c>
      <c r="L528" s="6" t="s">
        <v>81</v>
      </c>
      <c r="M528" s="6" t="s">
        <v>76</v>
      </c>
      <c r="N528">
        <v>93</v>
      </c>
    </row>
    <row r="529" spans="1:14" x14ac:dyDescent="0.35">
      <c r="A529" s="6" t="s">
        <v>2013</v>
      </c>
      <c r="B529" s="7">
        <v>45523</v>
      </c>
      <c r="C529" s="6" t="s">
        <v>2014</v>
      </c>
      <c r="D529" s="6" t="s">
        <v>41</v>
      </c>
      <c r="E529">
        <v>5</v>
      </c>
      <c r="F529">
        <v>653.47</v>
      </c>
      <c r="G529" s="6" t="s">
        <v>371</v>
      </c>
      <c r="H529" s="6" t="s">
        <v>34</v>
      </c>
      <c r="I529" s="6" t="s">
        <v>35</v>
      </c>
      <c r="J529" s="6" t="s">
        <v>2015</v>
      </c>
      <c r="K529">
        <v>10</v>
      </c>
      <c r="L529" s="6" t="s">
        <v>21</v>
      </c>
      <c r="M529" s="6" t="s">
        <v>29</v>
      </c>
      <c r="N529">
        <v>3267.35</v>
      </c>
    </row>
    <row r="530" spans="1:14" x14ac:dyDescent="0.35">
      <c r="A530" s="6" t="s">
        <v>2016</v>
      </c>
      <c r="B530" s="7">
        <v>45714</v>
      </c>
      <c r="C530" s="6" t="s">
        <v>2017</v>
      </c>
      <c r="D530" s="6" t="s">
        <v>41</v>
      </c>
      <c r="E530">
        <v>1</v>
      </c>
      <c r="F530">
        <v>628.89</v>
      </c>
      <c r="G530" s="6" t="s">
        <v>1758</v>
      </c>
      <c r="H530" s="6" t="s">
        <v>34</v>
      </c>
      <c r="I530" s="6" t="s">
        <v>43</v>
      </c>
      <c r="J530" s="6" t="s">
        <v>2018</v>
      </c>
      <c r="K530">
        <v>2</v>
      </c>
      <c r="L530" s="6" t="s">
        <v>21</v>
      </c>
      <c r="M530" s="6" t="s">
        <v>29</v>
      </c>
      <c r="N530">
        <v>628.89</v>
      </c>
    </row>
    <row r="531" spans="1:14" x14ac:dyDescent="0.35">
      <c r="A531" s="6" t="s">
        <v>2019</v>
      </c>
      <c r="B531" s="7">
        <v>45389</v>
      </c>
      <c r="C531" s="6" t="s">
        <v>2020</v>
      </c>
      <c r="D531" s="6" t="s">
        <v>32</v>
      </c>
      <c r="E531">
        <v>2</v>
      </c>
      <c r="F531">
        <v>675.1</v>
      </c>
      <c r="G531" s="6" t="s">
        <v>2021</v>
      </c>
      <c r="H531" s="6" t="s">
        <v>65</v>
      </c>
      <c r="I531" s="6" t="s">
        <v>89</v>
      </c>
      <c r="J531" s="6" t="s">
        <v>2022</v>
      </c>
      <c r="K531">
        <v>4</v>
      </c>
      <c r="L531" s="6" t="s">
        <v>37</v>
      </c>
      <c r="M531" s="6" t="s">
        <v>76</v>
      </c>
      <c r="N531">
        <v>1350.2</v>
      </c>
    </row>
    <row r="532" spans="1:14" x14ac:dyDescent="0.35">
      <c r="A532" s="6" t="s">
        <v>2023</v>
      </c>
      <c r="B532" s="7">
        <v>45491</v>
      </c>
      <c r="C532" s="6" t="s">
        <v>2024</v>
      </c>
      <c r="D532" s="6" t="s">
        <v>41</v>
      </c>
      <c r="E532">
        <v>4</v>
      </c>
      <c r="F532">
        <v>89.41</v>
      </c>
      <c r="G532" s="6" t="s">
        <v>2025</v>
      </c>
      <c r="H532" s="6" t="s">
        <v>27</v>
      </c>
      <c r="I532" s="6" t="s">
        <v>89</v>
      </c>
      <c r="J532" s="6" t="s">
        <v>2026</v>
      </c>
      <c r="K532">
        <v>9</v>
      </c>
      <c r="L532" s="6" t="s">
        <v>4283</v>
      </c>
      <c r="M532" s="6" t="s">
        <v>76</v>
      </c>
      <c r="N532">
        <v>357.64</v>
      </c>
    </row>
    <row r="533" spans="1:14" x14ac:dyDescent="0.35">
      <c r="A533" s="6" t="s">
        <v>2027</v>
      </c>
      <c r="B533" s="7">
        <v>45475</v>
      </c>
      <c r="C533" s="6" t="s">
        <v>2028</v>
      </c>
      <c r="D533" s="6" t="s">
        <v>73</v>
      </c>
      <c r="E533">
        <v>5</v>
      </c>
      <c r="F533">
        <v>320.01</v>
      </c>
      <c r="G533" s="6" t="s">
        <v>2029</v>
      </c>
      <c r="H533" s="6" t="s">
        <v>60</v>
      </c>
      <c r="I533" s="6" t="s">
        <v>50</v>
      </c>
      <c r="J533" s="6" t="s">
        <v>2030</v>
      </c>
      <c r="K533">
        <v>6</v>
      </c>
      <c r="L533" s="6" t="s">
        <v>4283</v>
      </c>
      <c r="M533" s="6" t="s">
        <v>29</v>
      </c>
      <c r="N533">
        <v>1600.05</v>
      </c>
    </row>
    <row r="534" spans="1:14" x14ac:dyDescent="0.35">
      <c r="A534" s="6" t="s">
        <v>2031</v>
      </c>
      <c r="B534" s="7">
        <v>45780</v>
      </c>
      <c r="C534" s="6" t="s">
        <v>2032</v>
      </c>
      <c r="D534" s="6" t="s">
        <v>58</v>
      </c>
      <c r="E534">
        <v>2</v>
      </c>
      <c r="F534">
        <v>41</v>
      </c>
      <c r="G534" s="6" t="s">
        <v>2033</v>
      </c>
      <c r="H534" s="6" t="s">
        <v>27</v>
      </c>
      <c r="I534" s="6" t="s">
        <v>50</v>
      </c>
      <c r="J534" s="6" t="s">
        <v>2034</v>
      </c>
      <c r="K534">
        <v>7</v>
      </c>
      <c r="L534" s="6" t="s">
        <v>4283</v>
      </c>
      <c r="M534" s="6" t="s">
        <v>38</v>
      </c>
      <c r="N534">
        <v>82</v>
      </c>
    </row>
    <row r="535" spans="1:14" x14ac:dyDescent="0.35">
      <c r="A535" s="6" t="s">
        <v>2035</v>
      </c>
      <c r="B535" s="7">
        <v>44990</v>
      </c>
      <c r="C535" s="6" t="s">
        <v>2036</v>
      </c>
      <c r="D535" s="6" t="s">
        <v>73</v>
      </c>
      <c r="E535">
        <v>1</v>
      </c>
      <c r="F535">
        <v>565.85</v>
      </c>
      <c r="G535" s="6" t="s">
        <v>301</v>
      </c>
      <c r="H535" s="6" t="s">
        <v>60</v>
      </c>
      <c r="I535" s="6" t="s">
        <v>43</v>
      </c>
      <c r="J535" s="6" t="s">
        <v>2037</v>
      </c>
      <c r="K535">
        <v>1</v>
      </c>
      <c r="L535" s="6" t="s">
        <v>37</v>
      </c>
      <c r="M535" s="6" t="s">
        <v>45</v>
      </c>
      <c r="N535">
        <v>565.85</v>
      </c>
    </row>
    <row r="536" spans="1:14" x14ac:dyDescent="0.35">
      <c r="A536" s="6" t="s">
        <v>2038</v>
      </c>
      <c r="B536" s="7">
        <v>45449</v>
      </c>
      <c r="C536" s="6" t="s">
        <v>2039</v>
      </c>
      <c r="D536" s="6" t="s">
        <v>41</v>
      </c>
      <c r="E536">
        <v>3</v>
      </c>
      <c r="F536">
        <v>648.59</v>
      </c>
      <c r="G536" s="6" t="s">
        <v>2040</v>
      </c>
      <c r="H536" s="6" t="s">
        <v>18</v>
      </c>
      <c r="I536" s="6" t="s">
        <v>35</v>
      </c>
      <c r="J536" s="6" t="s">
        <v>2041</v>
      </c>
      <c r="K536">
        <v>4</v>
      </c>
      <c r="L536" s="6" t="s">
        <v>21</v>
      </c>
      <c r="M536" s="6" t="s">
        <v>38</v>
      </c>
      <c r="N536">
        <v>1945.77</v>
      </c>
    </row>
    <row r="537" spans="1:14" x14ac:dyDescent="0.35">
      <c r="A537" s="6" t="s">
        <v>2042</v>
      </c>
      <c r="B537" s="7">
        <v>45497</v>
      </c>
      <c r="C537" s="6" t="s">
        <v>2043</v>
      </c>
      <c r="D537" s="6" t="s">
        <v>16</v>
      </c>
      <c r="E537">
        <v>3</v>
      </c>
      <c r="F537">
        <v>68.12</v>
      </c>
      <c r="G537" s="6" t="s">
        <v>723</v>
      </c>
      <c r="H537" s="6" t="s">
        <v>27</v>
      </c>
      <c r="I537" s="6" t="s">
        <v>35</v>
      </c>
      <c r="J537" s="6" t="s">
        <v>2044</v>
      </c>
      <c r="K537">
        <v>3</v>
      </c>
      <c r="L537" s="6" t="s">
        <v>37</v>
      </c>
      <c r="M537" s="6" t="s">
        <v>38</v>
      </c>
      <c r="N537">
        <v>204.36</v>
      </c>
    </row>
    <row r="538" spans="1:14" x14ac:dyDescent="0.35">
      <c r="A538" s="6" t="s">
        <v>2045</v>
      </c>
      <c r="B538" s="7">
        <v>45452</v>
      </c>
      <c r="C538" s="6" t="s">
        <v>2046</v>
      </c>
      <c r="D538" s="6" t="s">
        <v>41</v>
      </c>
      <c r="E538">
        <v>1</v>
      </c>
      <c r="F538">
        <v>616.1</v>
      </c>
      <c r="G538" s="6" t="s">
        <v>2047</v>
      </c>
      <c r="H538" s="6" t="s">
        <v>65</v>
      </c>
      <c r="I538" s="6" t="s">
        <v>43</v>
      </c>
      <c r="J538" s="6" t="s">
        <v>2048</v>
      </c>
      <c r="K538">
        <v>6</v>
      </c>
      <c r="L538" s="6" t="s">
        <v>4283</v>
      </c>
      <c r="M538" s="6" t="s">
        <v>38</v>
      </c>
      <c r="N538">
        <v>616.1</v>
      </c>
    </row>
    <row r="539" spans="1:14" x14ac:dyDescent="0.35">
      <c r="A539" s="6" t="s">
        <v>2049</v>
      </c>
      <c r="B539" s="7">
        <v>45739</v>
      </c>
      <c r="C539" s="6" t="s">
        <v>2050</v>
      </c>
      <c r="D539" s="6" t="s">
        <v>32</v>
      </c>
      <c r="E539">
        <v>3</v>
      </c>
      <c r="F539">
        <v>247.47</v>
      </c>
      <c r="G539" s="6" t="s">
        <v>297</v>
      </c>
      <c r="H539" s="6" t="s">
        <v>27</v>
      </c>
      <c r="I539" s="6" t="s">
        <v>50</v>
      </c>
      <c r="J539" s="6" t="s">
        <v>2051</v>
      </c>
      <c r="K539">
        <v>4</v>
      </c>
      <c r="L539" s="6" t="s">
        <v>21</v>
      </c>
      <c r="M539" s="6" t="s">
        <v>45</v>
      </c>
      <c r="N539">
        <v>742.41</v>
      </c>
    </row>
    <row r="540" spans="1:14" x14ac:dyDescent="0.35">
      <c r="A540" s="6" t="s">
        <v>2052</v>
      </c>
      <c r="B540" s="7">
        <v>45436</v>
      </c>
      <c r="C540" s="6" t="s">
        <v>2053</v>
      </c>
      <c r="D540" s="6" t="s">
        <v>25</v>
      </c>
      <c r="E540">
        <v>3</v>
      </c>
      <c r="F540">
        <v>490.74</v>
      </c>
      <c r="G540" s="6" t="s">
        <v>2054</v>
      </c>
      <c r="H540" s="6" t="s">
        <v>65</v>
      </c>
      <c r="I540" s="6" t="s">
        <v>19</v>
      </c>
      <c r="J540" s="6" t="s">
        <v>2055</v>
      </c>
      <c r="K540">
        <v>3</v>
      </c>
      <c r="L540" s="6" t="s">
        <v>81</v>
      </c>
      <c r="M540" s="6" t="s">
        <v>38</v>
      </c>
      <c r="N540">
        <v>1472.22</v>
      </c>
    </row>
    <row r="541" spans="1:14" x14ac:dyDescent="0.35">
      <c r="A541" s="6" t="s">
        <v>2056</v>
      </c>
      <c r="B541" s="7">
        <v>45706</v>
      </c>
      <c r="C541" s="6" t="s">
        <v>2057</v>
      </c>
      <c r="D541" s="6" t="s">
        <v>73</v>
      </c>
      <c r="E541">
        <v>3</v>
      </c>
      <c r="F541">
        <v>531.72</v>
      </c>
      <c r="G541" s="6" t="s">
        <v>2058</v>
      </c>
      <c r="H541" s="6" t="s">
        <v>60</v>
      </c>
      <c r="I541" s="6" t="s">
        <v>50</v>
      </c>
      <c r="J541" s="6" t="s">
        <v>2059</v>
      </c>
      <c r="K541">
        <v>7</v>
      </c>
      <c r="L541" s="6" t="s">
        <v>21</v>
      </c>
      <c r="M541" s="6" t="s">
        <v>76</v>
      </c>
      <c r="N541">
        <v>1595.16</v>
      </c>
    </row>
    <row r="542" spans="1:14" x14ac:dyDescent="0.35">
      <c r="A542" s="6" t="s">
        <v>2060</v>
      </c>
      <c r="B542" s="7">
        <v>45320</v>
      </c>
      <c r="C542" s="6" t="s">
        <v>2061</v>
      </c>
      <c r="D542" s="6" t="s">
        <v>58</v>
      </c>
      <c r="E542">
        <v>5</v>
      </c>
      <c r="F542">
        <v>648.65</v>
      </c>
      <c r="G542" s="6" t="s">
        <v>2062</v>
      </c>
      <c r="H542" s="6" t="s">
        <v>27</v>
      </c>
      <c r="I542" s="6" t="s">
        <v>89</v>
      </c>
      <c r="J542" s="6" t="s">
        <v>2063</v>
      </c>
      <c r="K542">
        <v>7</v>
      </c>
      <c r="L542" s="6" t="s">
        <v>4283</v>
      </c>
      <c r="M542" s="6" t="s">
        <v>29</v>
      </c>
      <c r="N542">
        <v>3243.25</v>
      </c>
    </row>
    <row r="543" spans="1:14" x14ac:dyDescent="0.35">
      <c r="A543" s="6" t="s">
        <v>2064</v>
      </c>
      <c r="B543" s="7">
        <v>45145</v>
      </c>
      <c r="C543" s="6" t="s">
        <v>2065</v>
      </c>
      <c r="D543" s="6" t="s">
        <v>48</v>
      </c>
      <c r="E543">
        <v>5</v>
      </c>
      <c r="F543">
        <v>456.06</v>
      </c>
      <c r="G543" s="6" t="s">
        <v>2066</v>
      </c>
      <c r="H543" s="6" t="s">
        <v>65</v>
      </c>
      <c r="I543" s="6" t="s">
        <v>89</v>
      </c>
      <c r="J543" s="6" t="s">
        <v>2067</v>
      </c>
      <c r="K543">
        <v>10</v>
      </c>
      <c r="L543" s="6" t="s">
        <v>4283</v>
      </c>
      <c r="M543" s="6" t="s">
        <v>22</v>
      </c>
      <c r="N543">
        <v>2280.3000000000002</v>
      </c>
    </row>
    <row r="544" spans="1:14" x14ac:dyDescent="0.35">
      <c r="A544" s="6" t="s">
        <v>2068</v>
      </c>
      <c r="B544" s="7">
        <v>45244</v>
      </c>
      <c r="C544" s="6" t="s">
        <v>2069</v>
      </c>
      <c r="D544" s="6" t="s">
        <v>32</v>
      </c>
      <c r="E544">
        <v>1</v>
      </c>
      <c r="F544">
        <v>17.98</v>
      </c>
      <c r="G544" s="6" t="s">
        <v>54</v>
      </c>
      <c r="H544" s="6" t="s">
        <v>65</v>
      </c>
      <c r="I544" s="6" t="s">
        <v>35</v>
      </c>
      <c r="J544" s="6" t="s">
        <v>2070</v>
      </c>
      <c r="K544">
        <v>6</v>
      </c>
      <c r="L544" s="6" t="s">
        <v>37</v>
      </c>
      <c r="M544" s="6" t="s">
        <v>38</v>
      </c>
      <c r="N544">
        <v>17.98</v>
      </c>
    </row>
    <row r="545" spans="1:14" x14ac:dyDescent="0.35">
      <c r="A545" s="6" t="s">
        <v>2071</v>
      </c>
      <c r="B545" s="7">
        <v>45360</v>
      </c>
      <c r="C545" s="6" t="s">
        <v>2072</v>
      </c>
      <c r="D545" s="6" t="s">
        <v>73</v>
      </c>
      <c r="E545">
        <v>5</v>
      </c>
      <c r="F545">
        <v>269.86</v>
      </c>
      <c r="G545" s="6" t="s">
        <v>731</v>
      </c>
      <c r="H545" s="6" t="s">
        <v>65</v>
      </c>
      <c r="I545" s="6" t="s">
        <v>19</v>
      </c>
      <c r="J545" s="6" t="s">
        <v>2073</v>
      </c>
      <c r="K545">
        <v>6</v>
      </c>
      <c r="L545" s="6" t="s">
        <v>81</v>
      </c>
      <c r="M545" s="6" t="s">
        <v>45</v>
      </c>
      <c r="N545">
        <v>1349.3</v>
      </c>
    </row>
    <row r="546" spans="1:14" x14ac:dyDescent="0.35">
      <c r="A546" s="6" t="s">
        <v>2074</v>
      </c>
      <c r="B546" s="7">
        <v>45361</v>
      </c>
      <c r="C546" s="6" t="s">
        <v>2075</v>
      </c>
      <c r="D546" s="6" t="s">
        <v>48</v>
      </c>
      <c r="E546">
        <v>5</v>
      </c>
      <c r="F546">
        <v>31.96</v>
      </c>
      <c r="G546" s="6" t="s">
        <v>1515</v>
      </c>
      <c r="H546" s="6" t="s">
        <v>34</v>
      </c>
      <c r="I546" s="6" t="s">
        <v>43</v>
      </c>
      <c r="J546" s="6" t="s">
        <v>2076</v>
      </c>
      <c r="K546">
        <v>5</v>
      </c>
      <c r="L546" s="6" t="s">
        <v>37</v>
      </c>
      <c r="M546" s="6" t="s">
        <v>29</v>
      </c>
      <c r="N546">
        <v>159.80000000000001</v>
      </c>
    </row>
    <row r="547" spans="1:14" x14ac:dyDescent="0.35">
      <c r="A547" s="6" t="s">
        <v>2077</v>
      </c>
      <c r="B547" s="7">
        <v>45279</v>
      </c>
      <c r="C547" s="6" t="s">
        <v>2078</v>
      </c>
      <c r="D547" s="6" t="s">
        <v>16</v>
      </c>
      <c r="E547">
        <v>2</v>
      </c>
      <c r="F547">
        <v>98.47</v>
      </c>
      <c r="G547" s="6" t="s">
        <v>2079</v>
      </c>
      <c r="H547" s="6" t="s">
        <v>65</v>
      </c>
      <c r="I547" s="6" t="s">
        <v>43</v>
      </c>
      <c r="J547" s="6" t="s">
        <v>2080</v>
      </c>
      <c r="K547">
        <v>3</v>
      </c>
      <c r="L547" s="6" t="s">
        <v>4283</v>
      </c>
      <c r="M547" s="6" t="s">
        <v>22</v>
      </c>
      <c r="N547">
        <v>196.94</v>
      </c>
    </row>
    <row r="548" spans="1:14" x14ac:dyDescent="0.35">
      <c r="A548" s="6" t="s">
        <v>2081</v>
      </c>
      <c r="B548" s="7">
        <v>45352</v>
      </c>
      <c r="C548" s="6" t="s">
        <v>2082</v>
      </c>
      <c r="D548" s="6" t="s">
        <v>16</v>
      </c>
      <c r="E548">
        <v>1</v>
      </c>
      <c r="F548">
        <v>158.68</v>
      </c>
      <c r="G548" s="6" t="s">
        <v>17</v>
      </c>
      <c r="H548" s="6" t="s">
        <v>34</v>
      </c>
      <c r="I548" s="6" t="s">
        <v>43</v>
      </c>
      <c r="J548" s="6" t="s">
        <v>2083</v>
      </c>
      <c r="K548">
        <v>6</v>
      </c>
      <c r="L548" s="6" t="s">
        <v>81</v>
      </c>
      <c r="M548" s="6" t="s">
        <v>22</v>
      </c>
      <c r="N548">
        <v>158.68</v>
      </c>
    </row>
    <row r="549" spans="1:14" x14ac:dyDescent="0.35">
      <c r="A549" s="6" t="s">
        <v>2084</v>
      </c>
      <c r="B549" s="7">
        <v>45158</v>
      </c>
      <c r="C549" s="6" t="s">
        <v>2085</v>
      </c>
      <c r="D549" s="6" t="s">
        <v>25</v>
      </c>
      <c r="E549">
        <v>1</v>
      </c>
      <c r="F549">
        <v>613.98</v>
      </c>
      <c r="G549" s="6" t="s">
        <v>2086</v>
      </c>
      <c r="H549" s="6" t="s">
        <v>27</v>
      </c>
      <c r="I549" s="6" t="s">
        <v>50</v>
      </c>
      <c r="J549" s="6" t="s">
        <v>2087</v>
      </c>
      <c r="K549">
        <v>4</v>
      </c>
      <c r="L549" s="6" t="s">
        <v>37</v>
      </c>
      <c r="M549" s="6" t="s">
        <v>45</v>
      </c>
      <c r="N549">
        <v>613.98</v>
      </c>
    </row>
    <row r="550" spans="1:14" x14ac:dyDescent="0.35">
      <c r="A550" s="6" t="s">
        <v>2088</v>
      </c>
      <c r="B550" s="7">
        <v>45296</v>
      </c>
      <c r="C550" s="6" t="s">
        <v>2089</v>
      </c>
      <c r="D550" s="6" t="s">
        <v>48</v>
      </c>
      <c r="E550">
        <v>3</v>
      </c>
      <c r="F550">
        <v>426.12</v>
      </c>
      <c r="G550" s="6" t="s">
        <v>422</v>
      </c>
      <c r="H550" s="6" t="s">
        <v>27</v>
      </c>
      <c r="I550" s="6" t="s">
        <v>50</v>
      </c>
      <c r="J550" s="6" t="s">
        <v>2090</v>
      </c>
      <c r="K550">
        <v>5</v>
      </c>
      <c r="L550" s="6" t="s">
        <v>81</v>
      </c>
      <c r="M550" s="6" t="s">
        <v>22</v>
      </c>
      <c r="N550">
        <v>1278.3599999999999</v>
      </c>
    </row>
    <row r="551" spans="1:14" x14ac:dyDescent="0.35">
      <c r="A551" s="6" t="s">
        <v>2091</v>
      </c>
      <c r="B551" s="7">
        <v>45713</v>
      </c>
      <c r="C551" s="6" t="s">
        <v>2092</v>
      </c>
      <c r="D551" s="6" t="s">
        <v>16</v>
      </c>
      <c r="E551">
        <v>4</v>
      </c>
      <c r="F551">
        <v>629.88</v>
      </c>
      <c r="G551" s="6" t="s">
        <v>2093</v>
      </c>
      <c r="H551" s="6" t="s">
        <v>18</v>
      </c>
      <c r="I551" s="6" t="s">
        <v>35</v>
      </c>
      <c r="J551" s="6" t="s">
        <v>2094</v>
      </c>
      <c r="K551">
        <v>8</v>
      </c>
      <c r="L551" s="6" t="s">
        <v>81</v>
      </c>
      <c r="M551" s="6" t="s">
        <v>22</v>
      </c>
      <c r="N551">
        <v>2519.52</v>
      </c>
    </row>
    <row r="552" spans="1:14" x14ac:dyDescent="0.35">
      <c r="A552" s="6" t="s">
        <v>2095</v>
      </c>
      <c r="B552" s="7">
        <v>45228</v>
      </c>
      <c r="C552" s="6" t="s">
        <v>2096</v>
      </c>
      <c r="D552" s="6" t="s">
        <v>58</v>
      </c>
      <c r="E552">
        <v>4</v>
      </c>
      <c r="F552">
        <v>228.91</v>
      </c>
      <c r="G552" s="6" t="s">
        <v>599</v>
      </c>
      <c r="H552" s="6" t="s">
        <v>65</v>
      </c>
      <c r="I552" s="6" t="s">
        <v>19</v>
      </c>
      <c r="J552" s="6" t="s">
        <v>2097</v>
      </c>
      <c r="K552">
        <v>4</v>
      </c>
      <c r="L552" s="6" t="s">
        <v>37</v>
      </c>
      <c r="M552" s="6" t="s">
        <v>76</v>
      </c>
      <c r="N552">
        <v>915.64</v>
      </c>
    </row>
    <row r="553" spans="1:14" x14ac:dyDescent="0.35">
      <c r="A553" s="6" t="s">
        <v>2098</v>
      </c>
      <c r="B553" s="7">
        <v>45064</v>
      </c>
      <c r="C553" s="6" t="s">
        <v>2099</v>
      </c>
      <c r="D553" s="6" t="s">
        <v>58</v>
      </c>
      <c r="E553">
        <v>1</v>
      </c>
      <c r="F553">
        <v>120.98</v>
      </c>
      <c r="G553" s="6" t="s">
        <v>537</v>
      </c>
      <c r="H553" s="6" t="s">
        <v>18</v>
      </c>
      <c r="I553" s="6" t="s">
        <v>50</v>
      </c>
      <c r="J553" s="6" t="s">
        <v>2100</v>
      </c>
      <c r="K553">
        <v>6</v>
      </c>
      <c r="L553" s="6" t="s">
        <v>81</v>
      </c>
      <c r="M553" s="6" t="s">
        <v>38</v>
      </c>
      <c r="N553">
        <v>120.98</v>
      </c>
    </row>
    <row r="554" spans="1:14" x14ac:dyDescent="0.35">
      <c r="A554" s="6" t="s">
        <v>2101</v>
      </c>
      <c r="B554" s="7">
        <v>45199</v>
      </c>
      <c r="C554" s="6" t="s">
        <v>2102</v>
      </c>
      <c r="D554" s="6" t="s">
        <v>41</v>
      </c>
      <c r="E554">
        <v>4</v>
      </c>
      <c r="F554">
        <v>425.18</v>
      </c>
      <c r="G554" s="6" t="s">
        <v>1956</v>
      </c>
      <c r="H554" s="6" t="s">
        <v>27</v>
      </c>
      <c r="I554" s="6" t="s">
        <v>43</v>
      </c>
      <c r="J554" s="6" t="s">
        <v>2103</v>
      </c>
      <c r="K554">
        <v>8</v>
      </c>
      <c r="L554" s="6" t="s">
        <v>81</v>
      </c>
      <c r="M554" s="6" t="s">
        <v>45</v>
      </c>
      <c r="N554">
        <v>1700.72</v>
      </c>
    </row>
    <row r="555" spans="1:14" x14ac:dyDescent="0.35">
      <c r="A555" s="6" t="s">
        <v>2104</v>
      </c>
      <c r="B555" s="7">
        <v>45161</v>
      </c>
      <c r="C555" s="6" t="s">
        <v>2105</v>
      </c>
      <c r="D555" s="6" t="s">
        <v>25</v>
      </c>
      <c r="E555">
        <v>2</v>
      </c>
      <c r="F555">
        <v>333.83</v>
      </c>
      <c r="G555" s="6" t="s">
        <v>2106</v>
      </c>
      <c r="H555" s="6" t="s">
        <v>60</v>
      </c>
      <c r="I555" s="6" t="s">
        <v>35</v>
      </c>
      <c r="J555" s="6" t="s">
        <v>2107</v>
      </c>
      <c r="K555">
        <v>4</v>
      </c>
      <c r="L555" s="6" t="s">
        <v>37</v>
      </c>
      <c r="M555" s="6" t="s">
        <v>29</v>
      </c>
      <c r="N555">
        <v>667.66</v>
      </c>
    </row>
    <row r="556" spans="1:14" x14ac:dyDescent="0.35">
      <c r="A556" s="6" t="s">
        <v>2108</v>
      </c>
      <c r="B556" s="7">
        <v>45807</v>
      </c>
      <c r="C556" s="6" t="s">
        <v>2109</v>
      </c>
      <c r="D556" s="6" t="s">
        <v>58</v>
      </c>
      <c r="E556">
        <v>2</v>
      </c>
      <c r="F556">
        <v>492.9</v>
      </c>
      <c r="G556" s="6" t="s">
        <v>937</v>
      </c>
      <c r="H556" s="6" t="s">
        <v>65</v>
      </c>
      <c r="I556" s="6" t="s">
        <v>43</v>
      </c>
      <c r="J556" s="6" t="s">
        <v>2110</v>
      </c>
      <c r="K556">
        <v>5</v>
      </c>
      <c r="L556" s="6" t="s">
        <v>37</v>
      </c>
      <c r="M556" s="6" t="s">
        <v>22</v>
      </c>
      <c r="N556">
        <v>985.8</v>
      </c>
    </row>
    <row r="557" spans="1:14" x14ac:dyDescent="0.35">
      <c r="A557" s="6" t="s">
        <v>2111</v>
      </c>
      <c r="B557" s="7">
        <v>44933</v>
      </c>
      <c r="C557" s="6" t="s">
        <v>2112</v>
      </c>
      <c r="D557" s="6" t="s">
        <v>32</v>
      </c>
      <c r="E557">
        <v>1</v>
      </c>
      <c r="F557">
        <v>92.04</v>
      </c>
      <c r="G557" s="6" t="s">
        <v>79</v>
      </c>
      <c r="H557" s="6" t="s">
        <v>65</v>
      </c>
      <c r="I557" s="6" t="s">
        <v>19</v>
      </c>
      <c r="J557" s="6" t="s">
        <v>2113</v>
      </c>
      <c r="K557">
        <v>2</v>
      </c>
      <c r="L557" s="6" t="s">
        <v>4283</v>
      </c>
      <c r="M557" s="6" t="s">
        <v>45</v>
      </c>
      <c r="N557">
        <v>92.04</v>
      </c>
    </row>
    <row r="558" spans="1:14" x14ac:dyDescent="0.35">
      <c r="A558" s="6" t="s">
        <v>2114</v>
      </c>
      <c r="B558" s="7">
        <v>44954</v>
      </c>
      <c r="C558" s="6" t="s">
        <v>2115</v>
      </c>
      <c r="D558" s="6" t="s">
        <v>58</v>
      </c>
      <c r="E558">
        <v>1</v>
      </c>
      <c r="F558">
        <v>654.27</v>
      </c>
      <c r="G558" s="6" t="s">
        <v>2116</v>
      </c>
      <c r="H558" s="6" t="s">
        <v>60</v>
      </c>
      <c r="I558" s="6" t="s">
        <v>89</v>
      </c>
      <c r="J558" s="6" t="s">
        <v>2117</v>
      </c>
      <c r="K558">
        <v>2</v>
      </c>
      <c r="L558" s="6" t="s">
        <v>21</v>
      </c>
      <c r="M558" s="6" t="s">
        <v>45</v>
      </c>
      <c r="N558">
        <v>654.27</v>
      </c>
    </row>
    <row r="559" spans="1:14" x14ac:dyDescent="0.35">
      <c r="A559" s="6" t="s">
        <v>2118</v>
      </c>
      <c r="B559" s="7">
        <v>45106</v>
      </c>
      <c r="C559" s="6" t="s">
        <v>2119</v>
      </c>
      <c r="D559" s="6" t="s">
        <v>32</v>
      </c>
      <c r="E559">
        <v>1</v>
      </c>
      <c r="F559">
        <v>56.2</v>
      </c>
      <c r="G559" s="6" t="s">
        <v>2120</v>
      </c>
      <c r="H559" s="6" t="s">
        <v>18</v>
      </c>
      <c r="I559" s="6" t="s">
        <v>89</v>
      </c>
      <c r="J559" s="6" t="s">
        <v>2121</v>
      </c>
      <c r="K559">
        <v>1</v>
      </c>
      <c r="L559" s="6" t="s">
        <v>81</v>
      </c>
      <c r="M559" s="6" t="s">
        <v>45</v>
      </c>
      <c r="N559">
        <v>56.2</v>
      </c>
    </row>
    <row r="560" spans="1:14" x14ac:dyDescent="0.35">
      <c r="A560" s="6" t="s">
        <v>2122</v>
      </c>
      <c r="B560" s="7">
        <v>45489</v>
      </c>
      <c r="C560" s="6" t="s">
        <v>2123</v>
      </c>
      <c r="D560" s="6" t="s">
        <v>25</v>
      </c>
      <c r="E560">
        <v>4</v>
      </c>
      <c r="F560">
        <v>628.12</v>
      </c>
      <c r="G560" s="6" t="s">
        <v>2124</v>
      </c>
      <c r="H560" s="6" t="s">
        <v>27</v>
      </c>
      <c r="I560" s="6" t="s">
        <v>50</v>
      </c>
      <c r="J560" s="6" t="s">
        <v>2125</v>
      </c>
      <c r="K560">
        <v>6</v>
      </c>
      <c r="L560" s="6" t="s">
        <v>81</v>
      </c>
      <c r="M560" s="6" t="s">
        <v>22</v>
      </c>
      <c r="N560">
        <v>2512.48</v>
      </c>
    </row>
    <row r="561" spans="1:14" x14ac:dyDescent="0.35">
      <c r="A561" s="6" t="s">
        <v>2126</v>
      </c>
      <c r="B561" s="7">
        <v>45397</v>
      </c>
      <c r="C561" s="6" t="s">
        <v>2127</v>
      </c>
      <c r="D561" s="6" t="s">
        <v>73</v>
      </c>
      <c r="E561">
        <v>3</v>
      </c>
      <c r="F561">
        <v>157.4</v>
      </c>
      <c r="G561" s="6" t="s">
        <v>1912</v>
      </c>
      <c r="H561" s="6" t="s">
        <v>18</v>
      </c>
      <c r="I561" s="6" t="s">
        <v>35</v>
      </c>
      <c r="J561" s="6" t="s">
        <v>2128</v>
      </c>
      <c r="K561">
        <v>7</v>
      </c>
      <c r="L561" s="6" t="s">
        <v>81</v>
      </c>
      <c r="M561" s="6" t="s">
        <v>38</v>
      </c>
      <c r="N561">
        <v>472.2</v>
      </c>
    </row>
    <row r="562" spans="1:14" x14ac:dyDescent="0.35">
      <c r="A562" s="6" t="s">
        <v>2129</v>
      </c>
      <c r="B562" s="7">
        <v>44957</v>
      </c>
      <c r="C562" s="6" t="s">
        <v>2130</v>
      </c>
      <c r="D562" s="6" t="s">
        <v>16</v>
      </c>
      <c r="E562">
        <v>4</v>
      </c>
      <c r="F562">
        <v>588.85</v>
      </c>
      <c r="G562" s="6" t="s">
        <v>2131</v>
      </c>
      <c r="H562" s="6" t="s">
        <v>60</v>
      </c>
      <c r="I562" s="6" t="s">
        <v>89</v>
      </c>
      <c r="J562" s="6" t="s">
        <v>2132</v>
      </c>
      <c r="K562">
        <v>7</v>
      </c>
      <c r="L562" s="6" t="s">
        <v>4283</v>
      </c>
      <c r="M562" s="6" t="s">
        <v>38</v>
      </c>
      <c r="N562">
        <v>2355.4</v>
      </c>
    </row>
    <row r="563" spans="1:14" x14ac:dyDescent="0.35">
      <c r="A563" s="6" t="s">
        <v>2133</v>
      </c>
      <c r="B563" s="7">
        <v>44957</v>
      </c>
      <c r="C563" s="6" t="s">
        <v>2134</v>
      </c>
      <c r="D563" s="6" t="s">
        <v>48</v>
      </c>
      <c r="E563">
        <v>2</v>
      </c>
      <c r="F563">
        <v>494.78</v>
      </c>
      <c r="G563" s="6" t="s">
        <v>2135</v>
      </c>
      <c r="H563" s="6" t="s">
        <v>27</v>
      </c>
      <c r="I563" s="6" t="s">
        <v>19</v>
      </c>
      <c r="J563" s="6" t="s">
        <v>2136</v>
      </c>
      <c r="K563">
        <v>2</v>
      </c>
      <c r="L563" s="6" t="s">
        <v>4283</v>
      </c>
      <c r="M563" s="6" t="s">
        <v>76</v>
      </c>
      <c r="N563">
        <v>989.56</v>
      </c>
    </row>
    <row r="564" spans="1:14" x14ac:dyDescent="0.35">
      <c r="A564" s="6" t="s">
        <v>2137</v>
      </c>
      <c r="B564" s="7">
        <v>45205</v>
      </c>
      <c r="C564" s="6" t="s">
        <v>2138</v>
      </c>
      <c r="D564" s="6" t="s">
        <v>58</v>
      </c>
      <c r="E564">
        <v>3</v>
      </c>
      <c r="F564">
        <v>663.93</v>
      </c>
      <c r="G564" s="6" t="s">
        <v>422</v>
      </c>
      <c r="H564" s="6" t="s">
        <v>60</v>
      </c>
      <c r="I564" s="6" t="s">
        <v>43</v>
      </c>
      <c r="J564" s="6" t="s">
        <v>2139</v>
      </c>
      <c r="K564">
        <v>6</v>
      </c>
      <c r="L564" s="6" t="s">
        <v>37</v>
      </c>
      <c r="M564" s="6" t="s">
        <v>38</v>
      </c>
      <c r="N564">
        <v>1991.79</v>
      </c>
    </row>
    <row r="565" spans="1:14" x14ac:dyDescent="0.35">
      <c r="A565" s="6" t="s">
        <v>2140</v>
      </c>
      <c r="B565" s="7">
        <v>45272</v>
      </c>
      <c r="C565" s="6" t="s">
        <v>2141</v>
      </c>
      <c r="D565" s="6" t="s">
        <v>58</v>
      </c>
      <c r="E565">
        <v>1</v>
      </c>
      <c r="F565">
        <v>132.68</v>
      </c>
      <c r="G565" s="6" t="s">
        <v>2142</v>
      </c>
      <c r="H565" s="6" t="s">
        <v>18</v>
      </c>
      <c r="I565" s="6" t="s">
        <v>43</v>
      </c>
      <c r="J565" s="6" t="s">
        <v>2143</v>
      </c>
      <c r="K565">
        <v>1</v>
      </c>
      <c r="L565" s="6" t="s">
        <v>21</v>
      </c>
      <c r="M565" s="6" t="s">
        <v>29</v>
      </c>
      <c r="N565">
        <v>132.68</v>
      </c>
    </row>
    <row r="566" spans="1:14" x14ac:dyDescent="0.35">
      <c r="A566" s="6" t="s">
        <v>2144</v>
      </c>
      <c r="B566" s="7">
        <v>45755</v>
      </c>
      <c r="C566" s="6" t="s">
        <v>2145</v>
      </c>
      <c r="D566" s="6" t="s">
        <v>73</v>
      </c>
      <c r="E566">
        <v>5</v>
      </c>
      <c r="F566">
        <v>364.28</v>
      </c>
      <c r="G566" s="6" t="s">
        <v>2146</v>
      </c>
      <c r="H566" s="6" t="s">
        <v>34</v>
      </c>
      <c r="I566" s="6" t="s">
        <v>35</v>
      </c>
      <c r="J566" s="6" t="s">
        <v>2147</v>
      </c>
      <c r="K566">
        <v>5</v>
      </c>
      <c r="L566" s="6" t="s">
        <v>81</v>
      </c>
      <c r="M566" s="6" t="s">
        <v>76</v>
      </c>
      <c r="N566">
        <v>1821.4</v>
      </c>
    </row>
    <row r="567" spans="1:14" x14ac:dyDescent="0.35">
      <c r="A567" s="6" t="s">
        <v>2148</v>
      </c>
      <c r="B567" s="7">
        <v>45060</v>
      </c>
      <c r="C567" s="6" t="s">
        <v>2149</v>
      </c>
      <c r="D567" s="6" t="s">
        <v>32</v>
      </c>
      <c r="E567">
        <v>5</v>
      </c>
      <c r="F567">
        <v>307.98</v>
      </c>
      <c r="G567" s="6" t="s">
        <v>1790</v>
      </c>
      <c r="H567" s="6" t="s">
        <v>27</v>
      </c>
      <c r="I567" s="6" t="s">
        <v>89</v>
      </c>
      <c r="J567" s="6" t="s">
        <v>2150</v>
      </c>
      <c r="K567">
        <v>10</v>
      </c>
      <c r="L567" s="6" t="s">
        <v>4283</v>
      </c>
      <c r="M567" s="6" t="s">
        <v>45</v>
      </c>
      <c r="N567">
        <v>1539.9</v>
      </c>
    </row>
    <row r="568" spans="1:14" x14ac:dyDescent="0.35">
      <c r="A568" s="6" t="s">
        <v>2151</v>
      </c>
      <c r="B568" s="7">
        <v>45400</v>
      </c>
      <c r="C568" s="6" t="s">
        <v>2152</v>
      </c>
      <c r="D568" s="6" t="s">
        <v>25</v>
      </c>
      <c r="E568">
        <v>4</v>
      </c>
      <c r="F568">
        <v>162.71</v>
      </c>
      <c r="G568" s="6" t="s">
        <v>2153</v>
      </c>
      <c r="H568" s="6" t="s">
        <v>65</v>
      </c>
      <c r="I568" s="6" t="s">
        <v>35</v>
      </c>
      <c r="J568" s="6" t="s">
        <v>2154</v>
      </c>
      <c r="K568">
        <v>7</v>
      </c>
      <c r="L568" s="6" t="s">
        <v>37</v>
      </c>
      <c r="M568" s="6" t="s">
        <v>38</v>
      </c>
      <c r="N568">
        <v>650.84</v>
      </c>
    </row>
    <row r="569" spans="1:14" x14ac:dyDescent="0.35">
      <c r="A569" s="6" t="s">
        <v>2155</v>
      </c>
      <c r="B569" s="7">
        <v>45565</v>
      </c>
      <c r="C569" s="6" t="s">
        <v>2156</v>
      </c>
      <c r="D569" s="6" t="s">
        <v>41</v>
      </c>
      <c r="E569">
        <v>5</v>
      </c>
      <c r="F569">
        <v>492.94</v>
      </c>
      <c r="G569" s="6" t="s">
        <v>1043</v>
      </c>
      <c r="H569" s="6" t="s">
        <v>65</v>
      </c>
      <c r="I569" s="6" t="s">
        <v>19</v>
      </c>
      <c r="J569" s="6" t="s">
        <v>2157</v>
      </c>
      <c r="K569">
        <v>10</v>
      </c>
      <c r="L569" s="6" t="s">
        <v>37</v>
      </c>
      <c r="M569" s="6" t="s">
        <v>38</v>
      </c>
      <c r="N569">
        <v>2464.6999999999998</v>
      </c>
    </row>
    <row r="570" spans="1:14" x14ac:dyDescent="0.35">
      <c r="A570" s="6" t="s">
        <v>2158</v>
      </c>
      <c r="B570" s="7">
        <v>44995</v>
      </c>
      <c r="C570" s="6" t="s">
        <v>2159</v>
      </c>
      <c r="D570" s="6" t="s">
        <v>58</v>
      </c>
      <c r="E570">
        <v>2</v>
      </c>
      <c r="F570">
        <v>343.99</v>
      </c>
      <c r="G570" s="6" t="s">
        <v>1431</v>
      </c>
      <c r="H570" s="6" t="s">
        <v>27</v>
      </c>
      <c r="I570" s="6" t="s">
        <v>50</v>
      </c>
      <c r="J570" s="6" t="s">
        <v>2160</v>
      </c>
      <c r="K570">
        <v>4</v>
      </c>
      <c r="L570" s="6" t="s">
        <v>4283</v>
      </c>
      <c r="M570" s="6" t="s">
        <v>76</v>
      </c>
      <c r="N570">
        <v>687.98</v>
      </c>
    </row>
    <row r="571" spans="1:14" x14ac:dyDescent="0.35">
      <c r="A571" s="6" t="s">
        <v>2161</v>
      </c>
      <c r="B571" s="7">
        <v>45738</v>
      </c>
      <c r="C571" s="6" t="s">
        <v>2162</v>
      </c>
      <c r="D571" s="6" t="s">
        <v>73</v>
      </c>
      <c r="E571">
        <v>5</v>
      </c>
      <c r="F571">
        <v>250.68</v>
      </c>
      <c r="G571" s="6" t="s">
        <v>1815</v>
      </c>
      <c r="H571" s="6" t="s">
        <v>65</v>
      </c>
      <c r="I571" s="6" t="s">
        <v>19</v>
      </c>
      <c r="J571" s="6" t="s">
        <v>2163</v>
      </c>
      <c r="K571">
        <v>8</v>
      </c>
      <c r="L571" s="6" t="s">
        <v>21</v>
      </c>
      <c r="M571" s="6" t="s">
        <v>22</v>
      </c>
      <c r="N571">
        <v>1253.4000000000001</v>
      </c>
    </row>
    <row r="572" spans="1:14" x14ac:dyDescent="0.35">
      <c r="A572" s="6" t="s">
        <v>2164</v>
      </c>
      <c r="B572" s="7">
        <v>45653</v>
      </c>
      <c r="C572" s="6" t="s">
        <v>2165</v>
      </c>
      <c r="D572" s="6" t="s">
        <v>73</v>
      </c>
      <c r="E572">
        <v>2</v>
      </c>
      <c r="F572">
        <v>362.14</v>
      </c>
      <c r="G572" s="6" t="s">
        <v>494</v>
      </c>
      <c r="H572" s="6" t="s">
        <v>18</v>
      </c>
      <c r="I572" s="6" t="s">
        <v>89</v>
      </c>
      <c r="J572" s="6" t="s">
        <v>2166</v>
      </c>
      <c r="K572">
        <v>2</v>
      </c>
      <c r="L572" s="6" t="s">
        <v>21</v>
      </c>
      <c r="M572" s="6" t="s">
        <v>22</v>
      </c>
      <c r="N572">
        <v>724.28</v>
      </c>
    </row>
    <row r="573" spans="1:14" x14ac:dyDescent="0.35">
      <c r="A573" s="6" t="s">
        <v>2167</v>
      </c>
      <c r="B573" s="7">
        <v>45619</v>
      </c>
      <c r="C573" s="6" t="s">
        <v>2168</v>
      </c>
      <c r="D573" s="6" t="s">
        <v>32</v>
      </c>
      <c r="E573">
        <v>1</v>
      </c>
      <c r="F573">
        <v>214.08</v>
      </c>
      <c r="G573" s="6" t="s">
        <v>1838</v>
      </c>
      <c r="H573" s="6" t="s">
        <v>60</v>
      </c>
      <c r="I573" s="6" t="s">
        <v>43</v>
      </c>
      <c r="J573" s="6" t="s">
        <v>2169</v>
      </c>
      <c r="K573">
        <v>2</v>
      </c>
      <c r="L573" s="6" t="s">
        <v>81</v>
      </c>
      <c r="M573" s="6" t="s">
        <v>76</v>
      </c>
      <c r="N573">
        <v>214.08</v>
      </c>
    </row>
    <row r="574" spans="1:14" x14ac:dyDescent="0.35">
      <c r="A574" s="6" t="s">
        <v>2170</v>
      </c>
      <c r="B574" s="7">
        <v>45241</v>
      </c>
      <c r="C574" s="6" t="s">
        <v>2171</v>
      </c>
      <c r="D574" s="6" t="s">
        <v>48</v>
      </c>
      <c r="E574">
        <v>1</v>
      </c>
      <c r="F574">
        <v>70.319999999999993</v>
      </c>
      <c r="G574" s="6" t="s">
        <v>1481</v>
      </c>
      <c r="H574" s="6" t="s">
        <v>65</v>
      </c>
      <c r="I574" s="6" t="s">
        <v>43</v>
      </c>
      <c r="J574" s="6" t="s">
        <v>2172</v>
      </c>
      <c r="K574">
        <v>4</v>
      </c>
      <c r="L574" s="6" t="s">
        <v>81</v>
      </c>
      <c r="M574" s="6" t="s">
        <v>45</v>
      </c>
      <c r="N574">
        <v>70.319999999999993</v>
      </c>
    </row>
    <row r="575" spans="1:14" x14ac:dyDescent="0.35">
      <c r="A575" s="6" t="s">
        <v>2173</v>
      </c>
      <c r="B575" s="7">
        <v>44951</v>
      </c>
      <c r="C575" s="6" t="s">
        <v>2174</v>
      </c>
      <c r="D575" s="6" t="s">
        <v>41</v>
      </c>
      <c r="E575">
        <v>5</v>
      </c>
      <c r="F575">
        <v>421.42</v>
      </c>
      <c r="G575" s="6" t="s">
        <v>466</v>
      </c>
      <c r="H575" s="6" t="s">
        <v>18</v>
      </c>
      <c r="I575" s="6" t="s">
        <v>35</v>
      </c>
      <c r="J575" s="6" t="s">
        <v>2175</v>
      </c>
      <c r="K575">
        <v>7</v>
      </c>
      <c r="L575" s="6" t="s">
        <v>4283</v>
      </c>
      <c r="M575" s="6" t="s">
        <v>22</v>
      </c>
      <c r="N575">
        <v>2107.1</v>
      </c>
    </row>
    <row r="576" spans="1:14" x14ac:dyDescent="0.35">
      <c r="A576" s="6" t="s">
        <v>2176</v>
      </c>
      <c r="B576" s="7">
        <v>45315</v>
      </c>
      <c r="C576" s="6" t="s">
        <v>2177</v>
      </c>
      <c r="D576" s="6" t="s">
        <v>41</v>
      </c>
      <c r="E576">
        <v>5</v>
      </c>
      <c r="F576">
        <v>384.69</v>
      </c>
      <c r="G576" s="6" t="s">
        <v>42</v>
      </c>
      <c r="H576" s="6" t="s">
        <v>34</v>
      </c>
      <c r="I576" s="6" t="s">
        <v>89</v>
      </c>
      <c r="J576" s="6" t="s">
        <v>2178</v>
      </c>
      <c r="K576">
        <v>6</v>
      </c>
      <c r="L576" s="6" t="s">
        <v>37</v>
      </c>
      <c r="M576" s="6" t="s">
        <v>38</v>
      </c>
      <c r="N576">
        <v>1923.45</v>
      </c>
    </row>
    <row r="577" spans="1:14" x14ac:dyDescent="0.35">
      <c r="A577" s="6" t="s">
        <v>2179</v>
      </c>
      <c r="B577" s="7">
        <v>45084</v>
      </c>
      <c r="C577" s="6" t="s">
        <v>2180</v>
      </c>
      <c r="D577" s="6" t="s">
        <v>41</v>
      </c>
      <c r="E577">
        <v>5</v>
      </c>
      <c r="F577">
        <v>448.15</v>
      </c>
      <c r="G577" s="6" t="s">
        <v>2181</v>
      </c>
      <c r="H577" s="6" t="s">
        <v>60</v>
      </c>
      <c r="I577" s="6" t="s">
        <v>43</v>
      </c>
      <c r="J577" s="6" t="s">
        <v>2182</v>
      </c>
      <c r="K577">
        <v>7</v>
      </c>
      <c r="L577" s="6" t="s">
        <v>21</v>
      </c>
      <c r="M577" s="6" t="s">
        <v>76</v>
      </c>
      <c r="N577">
        <v>2240.75</v>
      </c>
    </row>
    <row r="578" spans="1:14" x14ac:dyDescent="0.35">
      <c r="A578" s="6" t="s">
        <v>2183</v>
      </c>
      <c r="B578" s="7">
        <v>45441</v>
      </c>
      <c r="C578" s="6" t="s">
        <v>2184</v>
      </c>
      <c r="D578" s="6" t="s">
        <v>58</v>
      </c>
      <c r="E578">
        <v>5</v>
      </c>
      <c r="F578">
        <v>79.08</v>
      </c>
      <c r="G578" s="6" t="s">
        <v>1415</v>
      </c>
      <c r="H578" s="6" t="s">
        <v>65</v>
      </c>
      <c r="I578" s="6" t="s">
        <v>89</v>
      </c>
      <c r="J578" s="6" t="s">
        <v>2185</v>
      </c>
      <c r="K578">
        <v>8</v>
      </c>
      <c r="L578" s="6" t="s">
        <v>4283</v>
      </c>
      <c r="M578" s="6" t="s">
        <v>45</v>
      </c>
      <c r="N578">
        <v>395.4</v>
      </c>
    </row>
    <row r="579" spans="1:14" x14ac:dyDescent="0.35">
      <c r="A579" s="6" t="s">
        <v>2186</v>
      </c>
      <c r="B579" s="7">
        <v>44948</v>
      </c>
      <c r="C579" s="6" t="s">
        <v>2187</v>
      </c>
      <c r="D579" s="6" t="s">
        <v>32</v>
      </c>
      <c r="E579">
        <v>4</v>
      </c>
      <c r="F579">
        <v>185.41</v>
      </c>
      <c r="G579" s="6" t="s">
        <v>371</v>
      </c>
      <c r="H579" s="6" t="s">
        <v>27</v>
      </c>
      <c r="I579" s="6" t="s">
        <v>43</v>
      </c>
      <c r="J579" s="6" t="s">
        <v>2188</v>
      </c>
      <c r="K579">
        <v>9</v>
      </c>
      <c r="L579" s="6" t="s">
        <v>81</v>
      </c>
      <c r="M579" s="6" t="s">
        <v>76</v>
      </c>
      <c r="N579">
        <v>741.64</v>
      </c>
    </row>
    <row r="580" spans="1:14" x14ac:dyDescent="0.35">
      <c r="A580" s="6" t="s">
        <v>2189</v>
      </c>
      <c r="B580" s="7">
        <v>45575</v>
      </c>
      <c r="C580" s="6" t="s">
        <v>2190</v>
      </c>
      <c r="D580" s="6" t="s">
        <v>16</v>
      </c>
      <c r="E580">
        <v>5</v>
      </c>
      <c r="F580">
        <v>566.07000000000005</v>
      </c>
      <c r="G580" s="6" t="s">
        <v>121</v>
      </c>
      <c r="H580" s="6" t="s">
        <v>34</v>
      </c>
      <c r="I580" s="6" t="s">
        <v>50</v>
      </c>
      <c r="J580" s="6" t="s">
        <v>2191</v>
      </c>
      <c r="K580">
        <v>6</v>
      </c>
      <c r="L580" s="6" t="s">
        <v>21</v>
      </c>
      <c r="M580" s="6" t="s">
        <v>22</v>
      </c>
      <c r="N580">
        <v>2830.35</v>
      </c>
    </row>
    <row r="581" spans="1:14" x14ac:dyDescent="0.35">
      <c r="A581" s="6" t="s">
        <v>2192</v>
      </c>
      <c r="B581" s="7">
        <v>45081</v>
      </c>
      <c r="C581" s="6" t="s">
        <v>2193</v>
      </c>
      <c r="D581" s="6" t="s">
        <v>32</v>
      </c>
      <c r="E581">
        <v>2</v>
      </c>
      <c r="F581">
        <v>187.88</v>
      </c>
      <c r="G581" s="6" t="s">
        <v>1267</v>
      </c>
      <c r="H581" s="6" t="s">
        <v>27</v>
      </c>
      <c r="I581" s="6" t="s">
        <v>19</v>
      </c>
      <c r="J581" s="6" t="s">
        <v>2194</v>
      </c>
      <c r="K581">
        <v>4</v>
      </c>
      <c r="L581" s="6" t="s">
        <v>81</v>
      </c>
      <c r="M581" s="6" t="s">
        <v>45</v>
      </c>
      <c r="N581">
        <v>375.76</v>
      </c>
    </row>
    <row r="582" spans="1:14" x14ac:dyDescent="0.35">
      <c r="A582" s="6" t="s">
        <v>2195</v>
      </c>
      <c r="B582" s="7">
        <v>45244</v>
      </c>
      <c r="C582" s="6" t="s">
        <v>2196</v>
      </c>
      <c r="D582" s="6" t="s">
        <v>16</v>
      </c>
      <c r="E582">
        <v>2</v>
      </c>
      <c r="F582">
        <v>255.99</v>
      </c>
      <c r="G582" s="6" t="s">
        <v>2197</v>
      </c>
      <c r="H582" s="6" t="s">
        <v>34</v>
      </c>
      <c r="I582" s="6" t="s">
        <v>50</v>
      </c>
      <c r="J582" s="6" t="s">
        <v>2198</v>
      </c>
      <c r="K582">
        <v>4</v>
      </c>
      <c r="L582" s="6" t="s">
        <v>21</v>
      </c>
      <c r="M582" s="6" t="s">
        <v>22</v>
      </c>
      <c r="N582">
        <v>511.98</v>
      </c>
    </row>
    <row r="583" spans="1:14" x14ac:dyDescent="0.35">
      <c r="A583" s="6" t="s">
        <v>2199</v>
      </c>
      <c r="B583" s="7">
        <v>45607</v>
      </c>
      <c r="C583" s="6" t="s">
        <v>2200</v>
      </c>
      <c r="D583" s="6" t="s">
        <v>58</v>
      </c>
      <c r="E583">
        <v>1</v>
      </c>
      <c r="F583">
        <v>627.34</v>
      </c>
      <c r="G583" s="6" t="s">
        <v>101</v>
      </c>
      <c r="H583" s="6" t="s">
        <v>27</v>
      </c>
      <c r="I583" s="6" t="s">
        <v>50</v>
      </c>
      <c r="J583" s="6" t="s">
        <v>2201</v>
      </c>
      <c r="K583">
        <v>1</v>
      </c>
      <c r="L583" s="6" t="s">
        <v>4283</v>
      </c>
      <c r="M583" s="6" t="s">
        <v>29</v>
      </c>
      <c r="N583">
        <v>627.34</v>
      </c>
    </row>
    <row r="584" spans="1:14" x14ac:dyDescent="0.35">
      <c r="A584" s="6" t="s">
        <v>2202</v>
      </c>
      <c r="B584" s="7">
        <v>45341</v>
      </c>
      <c r="C584" s="6" t="s">
        <v>2203</v>
      </c>
      <c r="D584" s="6" t="s">
        <v>32</v>
      </c>
      <c r="E584">
        <v>3</v>
      </c>
      <c r="F584">
        <v>474.14</v>
      </c>
      <c r="G584" s="6" t="s">
        <v>1525</v>
      </c>
      <c r="H584" s="6" t="s">
        <v>60</v>
      </c>
      <c r="I584" s="6" t="s">
        <v>19</v>
      </c>
      <c r="J584" s="6" t="s">
        <v>2204</v>
      </c>
      <c r="K584">
        <v>8</v>
      </c>
      <c r="L584" s="6" t="s">
        <v>81</v>
      </c>
      <c r="M584" s="6" t="s">
        <v>76</v>
      </c>
      <c r="N584">
        <v>1422.42</v>
      </c>
    </row>
    <row r="585" spans="1:14" x14ac:dyDescent="0.35">
      <c r="A585" s="6" t="s">
        <v>2205</v>
      </c>
      <c r="B585" s="7">
        <v>45823</v>
      </c>
      <c r="C585" s="6" t="s">
        <v>2206</v>
      </c>
      <c r="D585" s="6" t="s">
        <v>41</v>
      </c>
      <c r="E585">
        <v>3</v>
      </c>
      <c r="F585">
        <v>154.37</v>
      </c>
      <c r="G585" s="6" t="s">
        <v>165</v>
      </c>
      <c r="H585" s="6" t="s">
        <v>60</v>
      </c>
      <c r="I585" s="6" t="s">
        <v>50</v>
      </c>
      <c r="J585" s="6" t="s">
        <v>2207</v>
      </c>
      <c r="K585">
        <v>4</v>
      </c>
      <c r="L585" s="6" t="s">
        <v>4283</v>
      </c>
      <c r="M585" s="6" t="s">
        <v>22</v>
      </c>
      <c r="N585">
        <v>463.11</v>
      </c>
    </row>
    <row r="586" spans="1:14" x14ac:dyDescent="0.35">
      <c r="A586" s="6" t="s">
        <v>2208</v>
      </c>
      <c r="B586" s="7">
        <v>45737</v>
      </c>
      <c r="C586" s="6" t="s">
        <v>2209</v>
      </c>
      <c r="D586" s="6" t="s">
        <v>41</v>
      </c>
      <c r="E586">
        <v>4</v>
      </c>
      <c r="F586">
        <v>145.05000000000001</v>
      </c>
      <c r="G586" s="6" t="s">
        <v>2210</v>
      </c>
      <c r="H586" s="6" t="s">
        <v>27</v>
      </c>
      <c r="I586" s="6" t="s">
        <v>50</v>
      </c>
      <c r="J586" s="6" t="s">
        <v>2211</v>
      </c>
      <c r="K586">
        <v>6</v>
      </c>
      <c r="L586" s="6" t="s">
        <v>21</v>
      </c>
      <c r="M586" s="6" t="s">
        <v>76</v>
      </c>
      <c r="N586">
        <v>580.20000000000005</v>
      </c>
    </row>
    <row r="587" spans="1:14" x14ac:dyDescent="0.35">
      <c r="A587" s="6" t="s">
        <v>2212</v>
      </c>
      <c r="B587" s="7">
        <v>45158</v>
      </c>
      <c r="C587" s="6" t="s">
        <v>2213</v>
      </c>
      <c r="D587" s="6" t="s">
        <v>32</v>
      </c>
      <c r="E587">
        <v>4</v>
      </c>
      <c r="F587">
        <v>67.08</v>
      </c>
      <c r="G587" s="6" t="s">
        <v>1408</v>
      </c>
      <c r="H587" s="6" t="s">
        <v>65</v>
      </c>
      <c r="I587" s="6" t="s">
        <v>43</v>
      </c>
      <c r="J587" s="6" t="s">
        <v>2214</v>
      </c>
      <c r="K587">
        <v>8</v>
      </c>
      <c r="L587" s="6" t="s">
        <v>81</v>
      </c>
      <c r="M587" s="6" t="s">
        <v>76</v>
      </c>
      <c r="N587">
        <v>268.32</v>
      </c>
    </row>
    <row r="588" spans="1:14" x14ac:dyDescent="0.35">
      <c r="A588" s="6" t="s">
        <v>2215</v>
      </c>
      <c r="B588" s="7">
        <v>45606</v>
      </c>
      <c r="C588" s="6" t="s">
        <v>2216</v>
      </c>
      <c r="D588" s="6" t="s">
        <v>16</v>
      </c>
      <c r="E588">
        <v>1</v>
      </c>
      <c r="F588">
        <v>522.08000000000004</v>
      </c>
      <c r="G588" s="6" t="s">
        <v>2217</v>
      </c>
      <c r="H588" s="6" t="s">
        <v>60</v>
      </c>
      <c r="I588" s="6" t="s">
        <v>43</v>
      </c>
      <c r="J588" s="6" t="s">
        <v>2218</v>
      </c>
      <c r="K588">
        <v>5</v>
      </c>
      <c r="L588" s="6" t="s">
        <v>37</v>
      </c>
      <c r="M588" s="6" t="s">
        <v>29</v>
      </c>
      <c r="N588">
        <v>522.08000000000004</v>
      </c>
    </row>
    <row r="589" spans="1:14" x14ac:dyDescent="0.35">
      <c r="A589" s="6" t="s">
        <v>2219</v>
      </c>
      <c r="B589" s="7">
        <v>45089</v>
      </c>
      <c r="C589" s="6" t="s">
        <v>2220</v>
      </c>
      <c r="D589" s="6" t="s">
        <v>16</v>
      </c>
      <c r="E589">
        <v>5</v>
      </c>
      <c r="F589">
        <v>514.6</v>
      </c>
      <c r="G589" s="6" t="s">
        <v>2221</v>
      </c>
      <c r="H589" s="6" t="s">
        <v>60</v>
      </c>
      <c r="I589" s="6" t="s">
        <v>50</v>
      </c>
      <c r="J589" s="6" t="s">
        <v>2222</v>
      </c>
      <c r="K589">
        <v>10</v>
      </c>
      <c r="L589" s="6" t="s">
        <v>37</v>
      </c>
      <c r="M589" s="6" t="s">
        <v>22</v>
      </c>
      <c r="N589">
        <v>2573</v>
      </c>
    </row>
    <row r="590" spans="1:14" x14ac:dyDescent="0.35">
      <c r="A590" s="6" t="s">
        <v>2223</v>
      </c>
      <c r="B590" s="7">
        <v>45636</v>
      </c>
      <c r="C590" s="6" t="s">
        <v>2224</v>
      </c>
      <c r="D590" s="6" t="s">
        <v>16</v>
      </c>
      <c r="E590">
        <v>4</v>
      </c>
      <c r="F590">
        <v>577.82000000000005</v>
      </c>
      <c r="G590" s="6" t="s">
        <v>273</v>
      </c>
      <c r="H590" s="6" t="s">
        <v>34</v>
      </c>
      <c r="I590" s="6" t="s">
        <v>50</v>
      </c>
      <c r="J590" s="6" t="s">
        <v>2225</v>
      </c>
      <c r="K590">
        <v>9</v>
      </c>
      <c r="L590" s="6" t="s">
        <v>4283</v>
      </c>
      <c r="M590" s="6" t="s">
        <v>76</v>
      </c>
      <c r="N590">
        <v>2311.2800000000002</v>
      </c>
    </row>
    <row r="591" spans="1:14" x14ac:dyDescent="0.35">
      <c r="A591" s="6" t="s">
        <v>2226</v>
      </c>
      <c r="B591" s="7">
        <v>45698</v>
      </c>
      <c r="C591" s="6" t="s">
        <v>2227</v>
      </c>
      <c r="D591" s="6" t="s">
        <v>58</v>
      </c>
      <c r="E591">
        <v>2</v>
      </c>
      <c r="F591">
        <v>500.8</v>
      </c>
      <c r="G591" s="6" t="s">
        <v>2228</v>
      </c>
      <c r="H591" s="6" t="s">
        <v>65</v>
      </c>
      <c r="I591" s="6" t="s">
        <v>50</v>
      </c>
      <c r="J591" s="6" t="s">
        <v>2229</v>
      </c>
      <c r="K591">
        <v>3</v>
      </c>
      <c r="L591" s="6" t="s">
        <v>37</v>
      </c>
      <c r="M591" s="6" t="s">
        <v>29</v>
      </c>
      <c r="N591">
        <v>1001.6</v>
      </c>
    </row>
    <row r="592" spans="1:14" x14ac:dyDescent="0.35">
      <c r="A592" s="6" t="s">
        <v>2230</v>
      </c>
      <c r="B592" s="7">
        <v>45179</v>
      </c>
      <c r="C592" s="6" t="s">
        <v>2231</v>
      </c>
      <c r="D592" s="6" t="s">
        <v>48</v>
      </c>
      <c r="E592">
        <v>2</v>
      </c>
      <c r="F592">
        <v>461.13</v>
      </c>
      <c r="G592" s="6" t="s">
        <v>2232</v>
      </c>
      <c r="H592" s="6" t="s">
        <v>60</v>
      </c>
      <c r="I592" s="6" t="s">
        <v>43</v>
      </c>
      <c r="J592" s="6" t="s">
        <v>2233</v>
      </c>
      <c r="K592">
        <v>4</v>
      </c>
      <c r="L592" s="6" t="s">
        <v>4283</v>
      </c>
      <c r="M592" s="6" t="s">
        <v>38</v>
      </c>
      <c r="N592">
        <v>922.26</v>
      </c>
    </row>
    <row r="593" spans="1:14" x14ac:dyDescent="0.35">
      <c r="A593" s="6" t="s">
        <v>2234</v>
      </c>
      <c r="B593" s="7">
        <v>45614</v>
      </c>
      <c r="C593" s="6" t="s">
        <v>2235</v>
      </c>
      <c r="D593" s="6" t="s">
        <v>58</v>
      </c>
      <c r="E593">
        <v>1</v>
      </c>
      <c r="F593">
        <v>605.28</v>
      </c>
      <c r="G593" s="6" t="s">
        <v>2236</v>
      </c>
      <c r="H593" s="6" t="s">
        <v>60</v>
      </c>
      <c r="I593" s="6" t="s">
        <v>19</v>
      </c>
      <c r="J593" s="6" t="s">
        <v>2237</v>
      </c>
      <c r="K593">
        <v>3</v>
      </c>
      <c r="L593" s="6" t="s">
        <v>37</v>
      </c>
      <c r="M593" s="6" t="s">
        <v>29</v>
      </c>
      <c r="N593">
        <v>605.28</v>
      </c>
    </row>
    <row r="594" spans="1:14" x14ac:dyDescent="0.35">
      <c r="A594" s="6" t="s">
        <v>2238</v>
      </c>
      <c r="B594" s="7">
        <v>45405</v>
      </c>
      <c r="C594" s="6" t="s">
        <v>2239</v>
      </c>
      <c r="D594" s="6" t="s">
        <v>25</v>
      </c>
      <c r="E594">
        <v>3</v>
      </c>
      <c r="F594">
        <v>204.27</v>
      </c>
      <c r="G594" s="6" t="s">
        <v>2021</v>
      </c>
      <c r="H594" s="6" t="s">
        <v>27</v>
      </c>
      <c r="I594" s="6" t="s">
        <v>43</v>
      </c>
      <c r="J594" s="6" t="s">
        <v>2240</v>
      </c>
      <c r="K594">
        <v>4</v>
      </c>
      <c r="L594" s="6" t="s">
        <v>4283</v>
      </c>
      <c r="M594" s="6" t="s">
        <v>76</v>
      </c>
      <c r="N594">
        <v>612.80999999999995</v>
      </c>
    </row>
    <row r="595" spans="1:14" x14ac:dyDescent="0.35">
      <c r="A595" s="6" t="s">
        <v>2241</v>
      </c>
      <c r="B595" s="7">
        <v>45140</v>
      </c>
      <c r="C595" s="6" t="s">
        <v>2242</v>
      </c>
      <c r="D595" s="6" t="s">
        <v>16</v>
      </c>
      <c r="E595">
        <v>1</v>
      </c>
      <c r="F595">
        <v>489.8</v>
      </c>
      <c r="G595" s="6" t="s">
        <v>565</v>
      </c>
      <c r="H595" s="6" t="s">
        <v>60</v>
      </c>
      <c r="I595" s="6" t="s">
        <v>19</v>
      </c>
      <c r="J595" s="6" t="s">
        <v>2243</v>
      </c>
      <c r="K595">
        <v>4</v>
      </c>
      <c r="L595" s="6" t="s">
        <v>37</v>
      </c>
      <c r="M595" s="6" t="s">
        <v>45</v>
      </c>
      <c r="N595">
        <v>489.8</v>
      </c>
    </row>
    <row r="596" spans="1:14" x14ac:dyDescent="0.35">
      <c r="A596" s="6" t="s">
        <v>2244</v>
      </c>
      <c r="B596" s="7">
        <v>45343</v>
      </c>
      <c r="C596" s="6" t="s">
        <v>2245</v>
      </c>
      <c r="D596" s="6" t="s">
        <v>25</v>
      </c>
      <c r="E596">
        <v>5</v>
      </c>
      <c r="F596">
        <v>72.64</v>
      </c>
      <c r="G596" s="6" t="s">
        <v>580</v>
      </c>
      <c r="H596" s="6" t="s">
        <v>34</v>
      </c>
      <c r="I596" s="6" t="s">
        <v>35</v>
      </c>
      <c r="J596" s="6" t="s">
        <v>2246</v>
      </c>
      <c r="K596">
        <v>7</v>
      </c>
      <c r="L596" s="6" t="s">
        <v>4283</v>
      </c>
      <c r="M596" s="6" t="s">
        <v>38</v>
      </c>
      <c r="N596">
        <v>363.2</v>
      </c>
    </row>
    <row r="597" spans="1:14" x14ac:dyDescent="0.35">
      <c r="A597" s="6" t="s">
        <v>2247</v>
      </c>
      <c r="B597" s="7">
        <v>45667</v>
      </c>
      <c r="C597" s="6" t="s">
        <v>2248</v>
      </c>
      <c r="D597" s="6" t="s">
        <v>48</v>
      </c>
      <c r="E597">
        <v>2</v>
      </c>
      <c r="F597">
        <v>385.16</v>
      </c>
      <c r="G597" s="6" t="s">
        <v>2249</v>
      </c>
      <c r="H597" s="6" t="s">
        <v>27</v>
      </c>
      <c r="I597" s="6" t="s">
        <v>89</v>
      </c>
      <c r="J597" s="6" t="s">
        <v>2250</v>
      </c>
      <c r="K597">
        <v>7</v>
      </c>
      <c r="L597" s="6" t="s">
        <v>21</v>
      </c>
      <c r="M597" s="6" t="s">
        <v>38</v>
      </c>
      <c r="N597">
        <v>770.32</v>
      </c>
    </row>
    <row r="598" spans="1:14" x14ac:dyDescent="0.35">
      <c r="A598" s="6" t="s">
        <v>2251</v>
      </c>
      <c r="B598" s="7">
        <v>45089</v>
      </c>
      <c r="C598" s="6" t="s">
        <v>2252</v>
      </c>
      <c r="D598" s="6" t="s">
        <v>73</v>
      </c>
      <c r="E598">
        <v>3</v>
      </c>
      <c r="F598">
        <v>606.41</v>
      </c>
      <c r="G598" s="6" t="s">
        <v>2253</v>
      </c>
      <c r="H598" s="6" t="s">
        <v>18</v>
      </c>
      <c r="I598" s="6" t="s">
        <v>43</v>
      </c>
      <c r="J598" s="6" t="s">
        <v>2254</v>
      </c>
      <c r="K598">
        <v>7</v>
      </c>
      <c r="L598" s="6" t="s">
        <v>37</v>
      </c>
      <c r="M598" s="6" t="s">
        <v>45</v>
      </c>
      <c r="N598">
        <v>1819.23</v>
      </c>
    </row>
    <row r="599" spans="1:14" x14ac:dyDescent="0.35">
      <c r="A599" s="6" t="s">
        <v>2255</v>
      </c>
      <c r="B599" s="7">
        <v>45621</v>
      </c>
      <c r="C599" s="6" t="s">
        <v>2256</v>
      </c>
      <c r="D599" s="6" t="s">
        <v>73</v>
      </c>
      <c r="E599">
        <v>2</v>
      </c>
      <c r="F599">
        <v>211.82</v>
      </c>
      <c r="G599" s="6" t="s">
        <v>2257</v>
      </c>
      <c r="H599" s="6" t="s">
        <v>60</v>
      </c>
      <c r="I599" s="6" t="s">
        <v>35</v>
      </c>
      <c r="J599" s="6" t="s">
        <v>2258</v>
      </c>
      <c r="K599">
        <v>4</v>
      </c>
      <c r="L599" s="6" t="s">
        <v>81</v>
      </c>
      <c r="M599" s="6" t="s">
        <v>38</v>
      </c>
      <c r="N599">
        <v>423.64</v>
      </c>
    </row>
    <row r="600" spans="1:14" x14ac:dyDescent="0.35">
      <c r="A600" s="6" t="s">
        <v>2259</v>
      </c>
      <c r="B600" s="7">
        <v>45408</v>
      </c>
      <c r="C600" s="6" t="s">
        <v>2260</v>
      </c>
      <c r="D600" s="6" t="s">
        <v>73</v>
      </c>
      <c r="E600">
        <v>5</v>
      </c>
      <c r="F600">
        <v>495.35</v>
      </c>
      <c r="G600" s="6" t="s">
        <v>1344</v>
      </c>
      <c r="H600" s="6" t="s">
        <v>34</v>
      </c>
      <c r="I600" s="6" t="s">
        <v>89</v>
      </c>
      <c r="J600" s="6" t="s">
        <v>2261</v>
      </c>
      <c r="K600">
        <v>5</v>
      </c>
      <c r="L600" s="6" t="s">
        <v>4283</v>
      </c>
      <c r="M600" s="6" t="s">
        <v>45</v>
      </c>
      <c r="N600">
        <v>2476.75</v>
      </c>
    </row>
    <row r="601" spans="1:14" x14ac:dyDescent="0.35">
      <c r="A601" s="6" t="s">
        <v>2262</v>
      </c>
      <c r="B601" s="7">
        <v>45107</v>
      </c>
      <c r="C601" s="6" t="s">
        <v>2263</v>
      </c>
      <c r="D601" s="6" t="s">
        <v>41</v>
      </c>
      <c r="E601">
        <v>3</v>
      </c>
      <c r="F601">
        <v>556.99</v>
      </c>
      <c r="G601" s="6" t="s">
        <v>1609</v>
      </c>
      <c r="H601" s="6" t="s">
        <v>27</v>
      </c>
      <c r="I601" s="6" t="s">
        <v>35</v>
      </c>
      <c r="J601" s="6" t="s">
        <v>2264</v>
      </c>
      <c r="K601">
        <v>4</v>
      </c>
      <c r="L601" s="6" t="s">
        <v>37</v>
      </c>
      <c r="M601" s="6" t="s">
        <v>45</v>
      </c>
      <c r="N601">
        <v>1670.97</v>
      </c>
    </row>
    <row r="602" spans="1:14" x14ac:dyDescent="0.35">
      <c r="A602" s="6" t="s">
        <v>2265</v>
      </c>
      <c r="B602" s="7">
        <v>45072</v>
      </c>
      <c r="C602" s="6" t="s">
        <v>2266</v>
      </c>
      <c r="D602" s="6" t="s">
        <v>48</v>
      </c>
      <c r="E602">
        <v>1</v>
      </c>
      <c r="F602">
        <v>72.31</v>
      </c>
      <c r="G602" s="6" t="s">
        <v>1047</v>
      </c>
      <c r="H602" s="6" t="s">
        <v>60</v>
      </c>
      <c r="I602" s="6" t="s">
        <v>35</v>
      </c>
      <c r="J602" s="6" t="s">
        <v>2267</v>
      </c>
      <c r="K602">
        <v>1</v>
      </c>
      <c r="L602" s="6" t="s">
        <v>37</v>
      </c>
      <c r="M602" s="6" t="s">
        <v>45</v>
      </c>
      <c r="N602">
        <v>72.31</v>
      </c>
    </row>
    <row r="603" spans="1:14" x14ac:dyDescent="0.35">
      <c r="A603" s="6" t="s">
        <v>2268</v>
      </c>
      <c r="B603" s="7">
        <v>45201</v>
      </c>
      <c r="C603" s="6" t="s">
        <v>2269</v>
      </c>
      <c r="D603" s="6" t="s">
        <v>16</v>
      </c>
      <c r="E603">
        <v>5</v>
      </c>
      <c r="F603">
        <v>24.82</v>
      </c>
      <c r="G603" s="6" t="s">
        <v>2270</v>
      </c>
      <c r="H603" s="6" t="s">
        <v>34</v>
      </c>
      <c r="I603" s="6" t="s">
        <v>19</v>
      </c>
      <c r="J603" s="6" t="s">
        <v>2271</v>
      </c>
      <c r="K603">
        <v>10</v>
      </c>
      <c r="L603" s="6" t="s">
        <v>4283</v>
      </c>
      <c r="M603" s="6" t="s">
        <v>29</v>
      </c>
      <c r="N603">
        <v>124.1</v>
      </c>
    </row>
    <row r="604" spans="1:14" x14ac:dyDescent="0.35">
      <c r="A604" s="6" t="s">
        <v>2272</v>
      </c>
      <c r="B604" s="7">
        <v>45356</v>
      </c>
      <c r="C604" s="6" t="s">
        <v>1858</v>
      </c>
      <c r="D604" s="6" t="s">
        <v>32</v>
      </c>
      <c r="E604">
        <v>4</v>
      </c>
      <c r="F604">
        <v>26.04</v>
      </c>
      <c r="G604" s="6" t="s">
        <v>1862</v>
      </c>
      <c r="H604" s="6" t="s">
        <v>27</v>
      </c>
      <c r="I604" s="6" t="s">
        <v>89</v>
      </c>
      <c r="J604" s="6" t="s">
        <v>2273</v>
      </c>
      <c r="K604">
        <v>5</v>
      </c>
      <c r="L604" s="6" t="s">
        <v>21</v>
      </c>
      <c r="M604" s="6" t="s">
        <v>22</v>
      </c>
      <c r="N604">
        <v>104.16</v>
      </c>
    </row>
    <row r="605" spans="1:14" x14ac:dyDescent="0.35">
      <c r="A605" s="6" t="s">
        <v>2274</v>
      </c>
      <c r="B605" s="7">
        <v>45569</v>
      </c>
      <c r="C605" s="6" t="s">
        <v>2275</v>
      </c>
      <c r="D605" s="6" t="s">
        <v>32</v>
      </c>
      <c r="E605">
        <v>1</v>
      </c>
      <c r="F605">
        <v>657.07</v>
      </c>
      <c r="G605" s="6" t="s">
        <v>2276</v>
      </c>
      <c r="H605" s="6" t="s">
        <v>65</v>
      </c>
      <c r="I605" s="6" t="s">
        <v>89</v>
      </c>
      <c r="J605" s="6" t="s">
        <v>2277</v>
      </c>
      <c r="K605">
        <v>4</v>
      </c>
      <c r="L605" s="6" t="s">
        <v>21</v>
      </c>
      <c r="M605" s="6" t="s">
        <v>76</v>
      </c>
      <c r="N605">
        <v>657.07</v>
      </c>
    </row>
    <row r="606" spans="1:14" x14ac:dyDescent="0.35">
      <c r="A606" s="6" t="s">
        <v>2278</v>
      </c>
      <c r="B606" s="7">
        <v>45830</v>
      </c>
      <c r="C606" s="6" t="s">
        <v>2279</v>
      </c>
      <c r="D606" s="6" t="s">
        <v>41</v>
      </c>
      <c r="E606">
        <v>3</v>
      </c>
      <c r="F606">
        <v>32.619999999999997</v>
      </c>
      <c r="G606" s="6" t="s">
        <v>1183</v>
      </c>
      <c r="H606" s="6" t="s">
        <v>18</v>
      </c>
      <c r="I606" s="6" t="s">
        <v>50</v>
      </c>
      <c r="J606" s="6" t="s">
        <v>2280</v>
      </c>
      <c r="K606">
        <v>6</v>
      </c>
      <c r="L606" s="6" t="s">
        <v>4283</v>
      </c>
      <c r="M606" s="6" t="s">
        <v>45</v>
      </c>
      <c r="N606">
        <v>97.86</v>
      </c>
    </row>
    <row r="607" spans="1:14" x14ac:dyDescent="0.35">
      <c r="A607" s="6" t="s">
        <v>2281</v>
      </c>
      <c r="B607" s="7">
        <v>45422</v>
      </c>
      <c r="C607" s="6" t="s">
        <v>2282</v>
      </c>
      <c r="D607" s="6" t="s">
        <v>16</v>
      </c>
      <c r="E607">
        <v>2</v>
      </c>
      <c r="F607">
        <v>228.91</v>
      </c>
      <c r="G607" s="6" t="s">
        <v>2283</v>
      </c>
      <c r="H607" s="6" t="s">
        <v>18</v>
      </c>
      <c r="I607" s="6" t="s">
        <v>19</v>
      </c>
      <c r="J607" s="6" t="s">
        <v>2284</v>
      </c>
      <c r="K607">
        <v>4</v>
      </c>
      <c r="L607" s="6" t="s">
        <v>21</v>
      </c>
      <c r="M607" s="6" t="s">
        <v>29</v>
      </c>
      <c r="N607">
        <v>457.82</v>
      </c>
    </row>
    <row r="608" spans="1:14" x14ac:dyDescent="0.35">
      <c r="A608" s="6" t="s">
        <v>2285</v>
      </c>
      <c r="B608" s="7">
        <v>45602</v>
      </c>
      <c r="C608" s="6" t="s">
        <v>2286</v>
      </c>
      <c r="D608" s="6" t="s">
        <v>58</v>
      </c>
      <c r="E608">
        <v>3</v>
      </c>
      <c r="F608">
        <v>274.75</v>
      </c>
      <c r="G608" s="6" t="s">
        <v>956</v>
      </c>
      <c r="H608" s="6" t="s">
        <v>65</v>
      </c>
      <c r="I608" s="6" t="s">
        <v>35</v>
      </c>
      <c r="J608" s="6" t="s">
        <v>2287</v>
      </c>
      <c r="K608">
        <v>3</v>
      </c>
      <c r="L608" s="6" t="s">
        <v>21</v>
      </c>
      <c r="M608" s="6" t="s">
        <v>76</v>
      </c>
      <c r="N608">
        <v>824.25</v>
      </c>
    </row>
    <row r="609" spans="1:14" x14ac:dyDescent="0.35">
      <c r="A609" s="6" t="s">
        <v>2288</v>
      </c>
      <c r="B609" s="7">
        <v>45808</v>
      </c>
      <c r="C609" s="6" t="s">
        <v>2289</v>
      </c>
      <c r="D609" s="6" t="s">
        <v>48</v>
      </c>
      <c r="E609">
        <v>4</v>
      </c>
      <c r="F609">
        <v>634.04999999999995</v>
      </c>
      <c r="G609" s="6" t="s">
        <v>2290</v>
      </c>
      <c r="H609" s="6" t="s">
        <v>65</v>
      </c>
      <c r="I609" s="6" t="s">
        <v>19</v>
      </c>
      <c r="J609" s="6" t="s">
        <v>2291</v>
      </c>
      <c r="K609">
        <v>6</v>
      </c>
      <c r="L609" s="6" t="s">
        <v>21</v>
      </c>
      <c r="M609" s="6" t="s">
        <v>76</v>
      </c>
      <c r="N609">
        <v>2536.1999999999998</v>
      </c>
    </row>
    <row r="610" spans="1:14" x14ac:dyDescent="0.35">
      <c r="A610" s="6" t="s">
        <v>2292</v>
      </c>
      <c r="B610" s="7">
        <v>45497</v>
      </c>
      <c r="C610" s="6" t="s">
        <v>2293</v>
      </c>
      <c r="D610" s="6" t="s">
        <v>58</v>
      </c>
      <c r="E610">
        <v>5</v>
      </c>
      <c r="F610">
        <v>543.16</v>
      </c>
      <c r="G610" s="6" t="s">
        <v>2294</v>
      </c>
      <c r="H610" s="6" t="s">
        <v>27</v>
      </c>
      <c r="I610" s="6" t="s">
        <v>35</v>
      </c>
      <c r="J610" s="6" t="s">
        <v>2295</v>
      </c>
      <c r="K610">
        <v>6</v>
      </c>
      <c r="L610" s="6" t="s">
        <v>21</v>
      </c>
      <c r="M610" s="6" t="s">
        <v>22</v>
      </c>
      <c r="N610">
        <v>2715.8</v>
      </c>
    </row>
    <row r="611" spans="1:14" x14ac:dyDescent="0.35">
      <c r="A611" s="6" t="s">
        <v>2296</v>
      </c>
      <c r="B611" s="7">
        <v>45684</v>
      </c>
      <c r="C611" s="6" t="s">
        <v>2297</v>
      </c>
      <c r="D611" s="6" t="s">
        <v>41</v>
      </c>
      <c r="E611">
        <v>3</v>
      </c>
      <c r="F611">
        <v>449.13</v>
      </c>
      <c r="G611" s="6" t="s">
        <v>2298</v>
      </c>
      <c r="H611" s="6" t="s">
        <v>65</v>
      </c>
      <c r="I611" s="6" t="s">
        <v>43</v>
      </c>
      <c r="J611" s="6" t="s">
        <v>2299</v>
      </c>
      <c r="K611">
        <v>5</v>
      </c>
      <c r="L611" s="6" t="s">
        <v>81</v>
      </c>
      <c r="M611" s="6" t="s">
        <v>29</v>
      </c>
      <c r="N611">
        <v>1347.39</v>
      </c>
    </row>
    <row r="612" spans="1:14" x14ac:dyDescent="0.35">
      <c r="A612" s="6" t="s">
        <v>2300</v>
      </c>
      <c r="B612" s="7">
        <v>45459</v>
      </c>
      <c r="C612" s="6" t="s">
        <v>2301</v>
      </c>
      <c r="D612" s="6" t="s">
        <v>73</v>
      </c>
      <c r="E612">
        <v>5</v>
      </c>
      <c r="F612">
        <v>389.62</v>
      </c>
      <c r="G612" s="6" t="s">
        <v>253</v>
      </c>
      <c r="H612" s="6" t="s">
        <v>65</v>
      </c>
      <c r="I612" s="6" t="s">
        <v>43</v>
      </c>
      <c r="J612" s="6" t="s">
        <v>2302</v>
      </c>
      <c r="K612">
        <v>7</v>
      </c>
      <c r="L612" s="6" t="s">
        <v>37</v>
      </c>
      <c r="M612" s="6" t="s">
        <v>45</v>
      </c>
      <c r="N612">
        <v>1948.1</v>
      </c>
    </row>
    <row r="613" spans="1:14" x14ac:dyDescent="0.35">
      <c r="A613" s="6" t="s">
        <v>2303</v>
      </c>
      <c r="B613" s="7">
        <v>45037</v>
      </c>
      <c r="C613" s="6" t="s">
        <v>2304</v>
      </c>
      <c r="D613" s="6" t="s">
        <v>73</v>
      </c>
      <c r="E613">
        <v>1</v>
      </c>
      <c r="F613">
        <v>305.17</v>
      </c>
      <c r="G613" s="6" t="s">
        <v>2257</v>
      </c>
      <c r="H613" s="6" t="s">
        <v>60</v>
      </c>
      <c r="I613" s="6" t="s">
        <v>43</v>
      </c>
      <c r="J613" s="6" t="s">
        <v>2305</v>
      </c>
      <c r="K613">
        <v>3</v>
      </c>
      <c r="L613" s="6" t="s">
        <v>81</v>
      </c>
      <c r="M613" s="6" t="s">
        <v>29</v>
      </c>
      <c r="N613">
        <v>305.17</v>
      </c>
    </row>
    <row r="614" spans="1:14" x14ac:dyDescent="0.35">
      <c r="A614" s="6" t="s">
        <v>2306</v>
      </c>
      <c r="B614" s="7">
        <v>45079</v>
      </c>
      <c r="C614" s="6" t="s">
        <v>2307</v>
      </c>
      <c r="D614" s="6" t="s">
        <v>41</v>
      </c>
      <c r="E614">
        <v>3</v>
      </c>
      <c r="F614">
        <v>445.12</v>
      </c>
      <c r="G614" s="6" t="s">
        <v>1260</v>
      </c>
      <c r="H614" s="6" t="s">
        <v>60</v>
      </c>
      <c r="I614" s="6" t="s">
        <v>35</v>
      </c>
      <c r="J614" s="6" t="s">
        <v>2308</v>
      </c>
      <c r="K614">
        <v>8</v>
      </c>
      <c r="L614" s="6" t="s">
        <v>4283</v>
      </c>
      <c r="M614" s="6" t="s">
        <v>76</v>
      </c>
      <c r="N614">
        <v>1335.36</v>
      </c>
    </row>
    <row r="615" spans="1:14" x14ac:dyDescent="0.35">
      <c r="A615" s="6" t="s">
        <v>2309</v>
      </c>
      <c r="B615" s="7">
        <v>45645</v>
      </c>
      <c r="C615" s="6" t="s">
        <v>2310</v>
      </c>
      <c r="D615" s="6" t="s">
        <v>58</v>
      </c>
      <c r="E615">
        <v>2</v>
      </c>
      <c r="F615">
        <v>230.36</v>
      </c>
      <c r="G615" s="6" t="s">
        <v>2311</v>
      </c>
      <c r="H615" s="6" t="s">
        <v>27</v>
      </c>
      <c r="I615" s="6" t="s">
        <v>43</v>
      </c>
      <c r="J615" s="6" t="s">
        <v>2312</v>
      </c>
      <c r="K615">
        <v>4</v>
      </c>
      <c r="L615" s="6" t="s">
        <v>81</v>
      </c>
      <c r="M615" s="6" t="s">
        <v>38</v>
      </c>
      <c r="N615">
        <v>460.72</v>
      </c>
    </row>
    <row r="616" spans="1:14" x14ac:dyDescent="0.35">
      <c r="A616" s="6" t="s">
        <v>2313</v>
      </c>
      <c r="B616" s="7">
        <v>45359</v>
      </c>
      <c r="C616" s="6" t="s">
        <v>2314</v>
      </c>
      <c r="D616" s="6" t="s">
        <v>25</v>
      </c>
      <c r="E616">
        <v>1</v>
      </c>
      <c r="F616">
        <v>96.81</v>
      </c>
      <c r="G616" s="6" t="s">
        <v>506</v>
      </c>
      <c r="H616" s="6" t="s">
        <v>60</v>
      </c>
      <c r="I616" s="6" t="s">
        <v>35</v>
      </c>
      <c r="J616" s="6" t="s">
        <v>2315</v>
      </c>
      <c r="K616">
        <v>3</v>
      </c>
      <c r="L616" s="6" t="s">
        <v>4283</v>
      </c>
      <c r="M616" s="6" t="s">
        <v>29</v>
      </c>
      <c r="N616">
        <v>96.81</v>
      </c>
    </row>
    <row r="617" spans="1:14" x14ac:dyDescent="0.35">
      <c r="A617" s="6" t="s">
        <v>2316</v>
      </c>
      <c r="B617" s="7">
        <v>45723</v>
      </c>
      <c r="C617" s="6" t="s">
        <v>2317</v>
      </c>
      <c r="D617" s="6" t="s">
        <v>16</v>
      </c>
      <c r="E617">
        <v>5</v>
      </c>
      <c r="F617">
        <v>460.14</v>
      </c>
      <c r="G617" s="6" t="s">
        <v>1183</v>
      </c>
      <c r="H617" s="6" t="s">
        <v>34</v>
      </c>
      <c r="I617" s="6" t="s">
        <v>43</v>
      </c>
      <c r="J617" s="6" t="s">
        <v>2318</v>
      </c>
      <c r="K617">
        <v>10</v>
      </c>
      <c r="L617" s="6" t="s">
        <v>81</v>
      </c>
      <c r="M617" s="6" t="s">
        <v>45</v>
      </c>
      <c r="N617">
        <v>2300.6999999999998</v>
      </c>
    </row>
    <row r="618" spans="1:14" x14ac:dyDescent="0.35">
      <c r="A618" s="6" t="s">
        <v>2319</v>
      </c>
      <c r="B618" s="7">
        <v>45582</v>
      </c>
      <c r="C618" s="6" t="s">
        <v>2320</v>
      </c>
      <c r="D618" s="6" t="s">
        <v>32</v>
      </c>
      <c r="E618">
        <v>3</v>
      </c>
      <c r="F618">
        <v>601.6</v>
      </c>
      <c r="G618" s="6" t="s">
        <v>2321</v>
      </c>
      <c r="H618" s="6" t="s">
        <v>34</v>
      </c>
      <c r="I618" s="6" t="s">
        <v>35</v>
      </c>
      <c r="J618" s="6" t="s">
        <v>2322</v>
      </c>
      <c r="K618">
        <v>7</v>
      </c>
      <c r="L618" s="6" t="s">
        <v>21</v>
      </c>
      <c r="M618" s="6" t="s">
        <v>45</v>
      </c>
      <c r="N618">
        <v>1804.8</v>
      </c>
    </row>
    <row r="619" spans="1:14" x14ac:dyDescent="0.35">
      <c r="A619" s="6" t="s">
        <v>2323</v>
      </c>
      <c r="B619" s="7">
        <v>45330</v>
      </c>
      <c r="C619" s="6" t="s">
        <v>2324</v>
      </c>
      <c r="D619" s="6" t="s">
        <v>32</v>
      </c>
      <c r="E619">
        <v>3</v>
      </c>
      <c r="F619">
        <v>184.47</v>
      </c>
      <c r="G619" s="6" t="s">
        <v>2325</v>
      </c>
      <c r="H619" s="6" t="s">
        <v>27</v>
      </c>
      <c r="I619" s="6" t="s">
        <v>35</v>
      </c>
      <c r="J619" s="6" t="s">
        <v>2326</v>
      </c>
      <c r="K619">
        <v>4</v>
      </c>
      <c r="L619" s="6" t="s">
        <v>4283</v>
      </c>
      <c r="M619" s="6" t="s">
        <v>29</v>
      </c>
      <c r="N619">
        <v>553.41</v>
      </c>
    </row>
    <row r="620" spans="1:14" x14ac:dyDescent="0.35">
      <c r="A620" s="6" t="s">
        <v>2327</v>
      </c>
      <c r="B620" s="7">
        <v>45538</v>
      </c>
      <c r="C620" s="6" t="s">
        <v>2328</v>
      </c>
      <c r="D620" s="6" t="s">
        <v>32</v>
      </c>
      <c r="E620">
        <v>1</v>
      </c>
      <c r="F620">
        <v>411.34</v>
      </c>
      <c r="G620" s="6" t="s">
        <v>2329</v>
      </c>
      <c r="H620" s="6" t="s">
        <v>18</v>
      </c>
      <c r="I620" s="6" t="s">
        <v>43</v>
      </c>
      <c r="J620" s="6" t="s">
        <v>2330</v>
      </c>
      <c r="K620">
        <v>5</v>
      </c>
      <c r="L620" s="6" t="s">
        <v>4283</v>
      </c>
      <c r="M620" s="6" t="s">
        <v>22</v>
      </c>
      <c r="N620">
        <v>411.34</v>
      </c>
    </row>
    <row r="621" spans="1:14" x14ac:dyDescent="0.35">
      <c r="A621" s="6" t="s">
        <v>2331</v>
      </c>
      <c r="B621" s="7">
        <v>45489</v>
      </c>
      <c r="C621" s="6" t="s">
        <v>2332</v>
      </c>
      <c r="D621" s="6" t="s">
        <v>58</v>
      </c>
      <c r="E621">
        <v>1</v>
      </c>
      <c r="F621">
        <v>532.89</v>
      </c>
      <c r="G621" s="6" t="s">
        <v>1869</v>
      </c>
      <c r="H621" s="6" t="s">
        <v>60</v>
      </c>
      <c r="I621" s="6" t="s">
        <v>89</v>
      </c>
      <c r="J621" s="6" t="s">
        <v>2333</v>
      </c>
      <c r="K621">
        <v>2</v>
      </c>
      <c r="L621" s="6" t="s">
        <v>4283</v>
      </c>
      <c r="M621" s="6" t="s">
        <v>29</v>
      </c>
      <c r="N621">
        <v>532.89</v>
      </c>
    </row>
    <row r="622" spans="1:14" x14ac:dyDescent="0.35">
      <c r="A622" s="6" t="s">
        <v>2334</v>
      </c>
      <c r="B622" s="7">
        <v>45378</v>
      </c>
      <c r="C622" s="6" t="s">
        <v>2335</v>
      </c>
      <c r="D622" s="6" t="s">
        <v>32</v>
      </c>
      <c r="E622">
        <v>3</v>
      </c>
      <c r="F622">
        <v>136.34</v>
      </c>
      <c r="G622" s="6" t="s">
        <v>2336</v>
      </c>
      <c r="H622" s="6" t="s">
        <v>18</v>
      </c>
      <c r="I622" s="6" t="s">
        <v>43</v>
      </c>
      <c r="J622" s="6" t="s">
        <v>2337</v>
      </c>
      <c r="K622">
        <v>8</v>
      </c>
      <c r="L622" s="6" t="s">
        <v>21</v>
      </c>
      <c r="M622" s="6" t="s">
        <v>29</v>
      </c>
      <c r="N622">
        <v>409.02</v>
      </c>
    </row>
    <row r="623" spans="1:14" x14ac:dyDescent="0.35">
      <c r="A623" s="6" t="s">
        <v>2338</v>
      </c>
      <c r="B623" s="7">
        <v>45221</v>
      </c>
      <c r="C623" s="6" t="s">
        <v>2339</v>
      </c>
      <c r="D623" s="6" t="s">
        <v>25</v>
      </c>
      <c r="E623">
        <v>5</v>
      </c>
      <c r="F623">
        <v>476.01</v>
      </c>
      <c r="G623" s="6" t="s">
        <v>347</v>
      </c>
      <c r="H623" s="6" t="s">
        <v>34</v>
      </c>
      <c r="I623" s="6" t="s">
        <v>50</v>
      </c>
      <c r="J623" s="6" t="s">
        <v>2340</v>
      </c>
      <c r="K623">
        <v>7</v>
      </c>
      <c r="L623" s="6" t="s">
        <v>81</v>
      </c>
      <c r="M623" s="6" t="s">
        <v>76</v>
      </c>
      <c r="N623">
        <v>2380.0500000000002</v>
      </c>
    </row>
    <row r="624" spans="1:14" x14ac:dyDescent="0.35">
      <c r="A624" s="6" t="s">
        <v>2341</v>
      </c>
      <c r="B624" s="7">
        <v>45598</v>
      </c>
      <c r="C624" s="6" t="s">
        <v>2342</v>
      </c>
      <c r="D624" s="6" t="s">
        <v>73</v>
      </c>
      <c r="E624">
        <v>5</v>
      </c>
      <c r="F624">
        <v>236.38</v>
      </c>
      <c r="G624" s="6" t="s">
        <v>181</v>
      </c>
      <c r="H624" s="6" t="s">
        <v>34</v>
      </c>
      <c r="I624" s="6" t="s">
        <v>43</v>
      </c>
      <c r="J624" s="6" t="s">
        <v>2343</v>
      </c>
      <c r="K624">
        <v>7</v>
      </c>
      <c r="L624" s="6" t="s">
        <v>4283</v>
      </c>
      <c r="M624" s="6" t="s">
        <v>45</v>
      </c>
      <c r="N624">
        <v>1181.9000000000001</v>
      </c>
    </row>
    <row r="625" spans="1:14" x14ac:dyDescent="0.35">
      <c r="A625" s="6" t="s">
        <v>2344</v>
      </c>
      <c r="B625" s="7">
        <v>45093</v>
      </c>
      <c r="C625" s="6" t="s">
        <v>2345</v>
      </c>
      <c r="D625" s="6" t="s">
        <v>48</v>
      </c>
      <c r="E625">
        <v>3</v>
      </c>
      <c r="F625">
        <v>396</v>
      </c>
      <c r="G625" s="6" t="s">
        <v>2346</v>
      </c>
      <c r="H625" s="6" t="s">
        <v>60</v>
      </c>
      <c r="I625" s="6" t="s">
        <v>35</v>
      </c>
      <c r="J625" s="6" t="s">
        <v>2347</v>
      </c>
      <c r="K625">
        <v>4</v>
      </c>
      <c r="L625" s="6" t="s">
        <v>37</v>
      </c>
      <c r="M625" s="6" t="s">
        <v>22</v>
      </c>
      <c r="N625">
        <v>1188</v>
      </c>
    </row>
    <row r="626" spans="1:14" x14ac:dyDescent="0.35">
      <c r="A626" s="6" t="s">
        <v>2348</v>
      </c>
      <c r="B626" s="7">
        <v>45307</v>
      </c>
      <c r="C626" s="6" t="s">
        <v>2349</v>
      </c>
      <c r="D626" s="6" t="s">
        <v>32</v>
      </c>
      <c r="E626">
        <v>5</v>
      </c>
      <c r="F626">
        <v>341.96</v>
      </c>
      <c r="G626" s="6" t="s">
        <v>1415</v>
      </c>
      <c r="H626" s="6" t="s">
        <v>18</v>
      </c>
      <c r="I626" s="6" t="s">
        <v>50</v>
      </c>
      <c r="J626" s="6" t="s">
        <v>2350</v>
      </c>
      <c r="K626">
        <v>6</v>
      </c>
      <c r="L626" s="6" t="s">
        <v>4283</v>
      </c>
      <c r="M626" s="6" t="s">
        <v>38</v>
      </c>
      <c r="N626">
        <v>1709.8</v>
      </c>
    </row>
    <row r="627" spans="1:14" x14ac:dyDescent="0.35">
      <c r="A627" s="6" t="s">
        <v>2351</v>
      </c>
      <c r="B627" s="7">
        <v>45193</v>
      </c>
      <c r="C627" s="6" t="s">
        <v>2352</v>
      </c>
      <c r="D627" s="6" t="s">
        <v>32</v>
      </c>
      <c r="E627">
        <v>1</v>
      </c>
      <c r="F627">
        <v>672.89</v>
      </c>
      <c r="G627" s="6" t="s">
        <v>2353</v>
      </c>
      <c r="H627" s="6" t="s">
        <v>34</v>
      </c>
      <c r="I627" s="6" t="s">
        <v>89</v>
      </c>
      <c r="J627" s="6" t="s">
        <v>2354</v>
      </c>
      <c r="K627">
        <v>1</v>
      </c>
      <c r="L627" s="6" t="s">
        <v>81</v>
      </c>
      <c r="M627" s="6" t="s">
        <v>38</v>
      </c>
      <c r="N627">
        <v>672.89</v>
      </c>
    </row>
    <row r="628" spans="1:14" x14ac:dyDescent="0.35">
      <c r="A628" s="6" t="s">
        <v>2355</v>
      </c>
      <c r="B628" s="7">
        <v>45352</v>
      </c>
      <c r="C628" s="6" t="s">
        <v>2356</v>
      </c>
      <c r="D628" s="6" t="s">
        <v>32</v>
      </c>
      <c r="E628">
        <v>2</v>
      </c>
      <c r="F628">
        <v>657.48</v>
      </c>
      <c r="G628" s="6" t="s">
        <v>1639</v>
      </c>
      <c r="H628" s="6" t="s">
        <v>27</v>
      </c>
      <c r="I628" s="6" t="s">
        <v>19</v>
      </c>
      <c r="J628" s="6" t="s">
        <v>2357</v>
      </c>
      <c r="K628">
        <v>5</v>
      </c>
      <c r="L628" s="6" t="s">
        <v>21</v>
      </c>
      <c r="M628" s="6" t="s">
        <v>29</v>
      </c>
      <c r="N628">
        <v>1314.96</v>
      </c>
    </row>
    <row r="629" spans="1:14" x14ac:dyDescent="0.35">
      <c r="A629" s="6" t="s">
        <v>2358</v>
      </c>
      <c r="B629" s="7">
        <v>45144</v>
      </c>
      <c r="C629" s="6" t="s">
        <v>2359</v>
      </c>
      <c r="D629" s="6" t="s">
        <v>41</v>
      </c>
      <c r="E629">
        <v>3</v>
      </c>
      <c r="F629">
        <v>498.68</v>
      </c>
      <c r="G629" s="6" t="s">
        <v>2066</v>
      </c>
      <c r="H629" s="6" t="s">
        <v>27</v>
      </c>
      <c r="I629" s="6" t="s">
        <v>43</v>
      </c>
      <c r="J629" s="6" t="s">
        <v>2360</v>
      </c>
      <c r="K629">
        <v>4</v>
      </c>
      <c r="L629" s="6" t="s">
        <v>37</v>
      </c>
      <c r="M629" s="6" t="s">
        <v>38</v>
      </c>
      <c r="N629">
        <v>1496.04</v>
      </c>
    </row>
    <row r="630" spans="1:14" x14ac:dyDescent="0.35">
      <c r="A630" s="6" t="s">
        <v>2361</v>
      </c>
      <c r="B630" s="7">
        <v>45011</v>
      </c>
      <c r="C630" s="6" t="s">
        <v>2362</v>
      </c>
      <c r="D630" s="6" t="s">
        <v>48</v>
      </c>
      <c r="E630">
        <v>5</v>
      </c>
      <c r="F630">
        <v>558.63</v>
      </c>
      <c r="G630" s="6" t="s">
        <v>2363</v>
      </c>
      <c r="H630" s="6" t="s">
        <v>65</v>
      </c>
      <c r="I630" s="6" t="s">
        <v>89</v>
      </c>
      <c r="J630" s="6" t="s">
        <v>2364</v>
      </c>
      <c r="K630">
        <v>8</v>
      </c>
      <c r="L630" s="6" t="s">
        <v>37</v>
      </c>
      <c r="M630" s="6" t="s">
        <v>29</v>
      </c>
      <c r="N630">
        <v>2793.15</v>
      </c>
    </row>
    <row r="631" spans="1:14" x14ac:dyDescent="0.35">
      <c r="A631" s="6" t="s">
        <v>2365</v>
      </c>
      <c r="B631" s="7">
        <v>45114</v>
      </c>
      <c r="C631" s="6" t="s">
        <v>2366</v>
      </c>
      <c r="D631" s="6" t="s">
        <v>25</v>
      </c>
      <c r="E631">
        <v>3</v>
      </c>
      <c r="F631">
        <v>19.73</v>
      </c>
      <c r="G631" s="6" t="s">
        <v>2367</v>
      </c>
      <c r="H631" s="6" t="s">
        <v>27</v>
      </c>
      <c r="I631" s="6" t="s">
        <v>89</v>
      </c>
      <c r="J631" s="6" t="s">
        <v>2368</v>
      </c>
      <c r="K631">
        <v>3</v>
      </c>
      <c r="L631" s="6" t="s">
        <v>4283</v>
      </c>
      <c r="M631" s="6" t="s">
        <v>29</v>
      </c>
      <c r="N631">
        <v>59.19</v>
      </c>
    </row>
    <row r="632" spans="1:14" x14ac:dyDescent="0.35">
      <c r="A632" s="6" t="s">
        <v>2369</v>
      </c>
      <c r="B632" s="7">
        <v>45100</v>
      </c>
      <c r="C632" s="6" t="s">
        <v>2370</v>
      </c>
      <c r="D632" s="6" t="s">
        <v>16</v>
      </c>
      <c r="E632">
        <v>5</v>
      </c>
      <c r="F632">
        <v>248.84</v>
      </c>
      <c r="G632" s="6" t="s">
        <v>2371</v>
      </c>
      <c r="H632" s="6" t="s">
        <v>18</v>
      </c>
      <c r="I632" s="6" t="s">
        <v>35</v>
      </c>
      <c r="J632" s="6" t="s">
        <v>2372</v>
      </c>
      <c r="K632">
        <v>10</v>
      </c>
      <c r="L632" s="6" t="s">
        <v>4283</v>
      </c>
      <c r="M632" s="6" t="s">
        <v>22</v>
      </c>
      <c r="N632">
        <v>1244.2</v>
      </c>
    </row>
    <row r="633" spans="1:14" x14ac:dyDescent="0.35">
      <c r="A633" s="6" t="s">
        <v>2373</v>
      </c>
      <c r="B633" s="7">
        <v>45535</v>
      </c>
      <c r="C633" s="6" t="s">
        <v>2374</v>
      </c>
      <c r="D633" s="6" t="s">
        <v>41</v>
      </c>
      <c r="E633">
        <v>3</v>
      </c>
      <c r="F633">
        <v>46.11</v>
      </c>
      <c r="G633" s="6" t="s">
        <v>1101</v>
      </c>
      <c r="H633" s="6" t="s">
        <v>60</v>
      </c>
      <c r="I633" s="6" t="s">
        <v>43</v>
      </c>
      <c r="J633" s="6" t="s">
        <v>2375</v>
      </c>
      <c r="K633">
        <v>5</v>
      </c>
      <c r="L633" s="6" t="s">
        <v>81</v>
      </c>
      <c r="M633" s="6" t="s">
        <v>29</v>
      </c>
      <c r="N633">
        <v>138.33000000000001</v>
      </c>
    </row>
    <row r="634" spans="1:14" x14ac:dyDescent="0.35">
      <c r="A634" s="6" t="s">
        <v>2376</v>
      </c>
      <c r="B634" s="7">
        <v>45048</v>
      </c>
      <c r="C634" s="6" t="s">
        <v>2377</v>
      </c>
      <c r="D634" s="6" t="s">
        <v>58</v>
      </c>
      <c r="E634">
        <v>5</v>
      </c>
      <c r="F634">
        <v>678.16</v>
      </c>
      <c r="G634" s="6" t="s">
        <v>1028</v>
      </c>
      <c r="H634" s="6" t="s">
        <v>60</v>
      </c>
      <c r="I634" s="6" t="s">
        <v>50</v>
      </c>
      <c r="J634" s="6" t="s">
        <v>2378</v>
      </c>
      <c r="K634">
        <v>7</v>
      </c>
      <c r="L634" s="6" t="s">
        <v>81</v>
      </c>
      <c r="M634" s="6" t="s">
        <v>45</v>
      </c>
      <c r="N634">
        <v>3390.8</v>
      </c>
    </row>
    <row r="635" spans="1:14" x14ac:dyDescent="0.35">
      <c r="A635" s="6" t="s">
        <v>2379</v>
      </c>
      <c r="B635" s="7">
        <v>45392</v>
      </c>
      <c r="C635" s="6" t="s">
        <v>2380</v>
      </c>
      <c r="D635" s="6" t="s">
        <v>58</v>
      </c>
      <c r="E635">
        <v>5</v>
      </c>
      <c r="F635">
        <v>601.72</v>
      </c>
      <c r="G635" s="6" t="s">
        <v>1538</v>
      </c>
      <c r="H635" s="6" t="s">
        <v>60</v>
      </c>
      <c r="I635" s="6" t="s">
        <v>35</v>
      </c>
      <c r="J635" s="6" t="s">
        <v>2381</v>
      </c>
      <c r="K635">
        <v>5</v>
      </c>
      <c r="L635" s="6" t="s">
        <v>81</v>
      </c>
      <c r="M635" s="6" t="s">
        <v>22</v>
      </c>
      <c r="N635">
        <v>3008.6</v>
      </c>
    </row>
    <row r="636" spans="1:14" x14ac:dyDescent="0.35">
      <c r="A636" s="6" t="s">
        <v>2382</v>
      </c>
      <c r="B636" s="7">
        <v>45407</v>
      </c>
      <c r="C636" s="6" t="s">
        <v>2383</v>
      </c>
      <c r="D636" s="6" t="s">
        <v>48</v>
      </c>
      <c r="E636">
        <v>2</v>
      </c>
      <c r="F636">
        <v>259.32</v>
      </c>
      <c r="G636" s="6" t="s">
        <v>2384</v>
      </c>
      <c r="H636" s="6" t="s">
        <v>60</v>
      </c>
      <c r="I636" s="6" t="s">
        <v>50</v>
      </c>
      <c r="J636" s="6" t="s">
        <v>2385</v>
      </c>
      <c r="K636">
        <v>2</v>
      </c>
      <c r="L636" s="6" t="s">
        <v>81</v>
      </c>
      <c r="M636" s="6" t="s">
        <v>29</v>
      </c>
      <c r="N636">
        <v>518.64</v>
      </c>
    </row>
    <row r="637" spans="1:14" x14ac:dyDescent="0.35">
      <c r="A637" s="6" t="s">
        <v>2386</v>
      </c>
      <c r="B637" s="7">
        <v>45273</v>
      </c>
      <c r="C637" s="6" t="s">
        <v>2387</v>
      </c>
      <c r="D637" s="6" t="s">
        <v>41</v>
      </c>
      <c r="E637">
        <v>3</v>
      </c>
      <c r="F637">
        <v>63.68</v>
      </c>
      <c r="G637" s="6" t="s">
        <v>242</v>
      </c>
      <c r="H637" s="6" t="s">
        <v>65</v>
      </c>
      <c r="I637" s="6" t="s">
        <v>43</v>
      </c>
      <c r="J637" s="6" t="s">
        <v>2388</v>
      </c>
      <c r="K637">
        <v>6</v>
      </c>
      <c r="L637" s="6" t="s">
        <v>4283</v>
      </c>
      <c r="M637" s="6" t="s">
        <v>45</v>
      </c>
      <c r="N637">
        <v>191.04</v>
      </c>
    </row>
    <row r="638" spans="1:14" x14ac:dyDescent="0.35">
      <c r="A638" s="6" t="s">
        <v>2389</v>
      </c>
      <c r="B638" s="7">
        <v>45204</v>
      </c>
      <c r="C638" s="6" t="s">
        <v>2390</v>
      </c>
      <c r="D638" s="6" t="s">
        <v>58</v>
      </c>
      <c r="E638">
        <v>4</v>
      </c>
      <c r="F638">
        <v>371.07</v>
      </c>
      <c r="G638" s="6" t="s">
        <v>708</v>
      </c>
      <c r="H638" s="6" t="s">
        <v>65</v>
      </c>
      <c r="I638" s="6" t="s">
        <v>35</v>
      </c>
      <c r="J638" s="6" t="s">
        <v>2391</v>
      </c>
      <c r="K638">
        <v>7</v>
      </c>
      <c r="L638" s="6" t="s">
        <v>81</v>
      </c>
      <c r="M638" s="6" t="s">
        <v>45</v>
      </c>
      <c r="N638">
        <v>1484.28</v>
      </c>
    </row>
    <row r="639" spans="1:14" x14ac:dyDescent="0.35">
      <c r="A639" s="6" t="s">
        <v>2392</v>
      </c>
      <c r="B639" s="7">
        <v>45564</v>
      </c>
      <c r="C639" s="6" t="s">
        <v>2393</v>
      </c>
      <c r="D639" s="6" t="s">
        <v>41</v>
      </c>
      <c r="E639">
        <v>4</v>
      </c>
      <c r="F639">
        <v>306.35000000000002</v>
      </c>
      <c r="G639" s="6" t="s">
        <v>2394</v>
      </c>
      <c r="H639" s="6" t="s">
        <v>60</v>
      </c>
      <c r="I639" s="6" t="s">
        <v>19</v>
      </c>
      <c r="J639" s="6" t="s">
        <v>2395</v>
      </c>
      <c r="K639">
        <v>7</v>
      </c>
      <c r="L639" s="6" t="s">
        <v>81</v>
      </c>
      <c r="M639" s="6" t="s">
        <v>29</v>
      </c>
      <c r="N639">
        <v>1225.4000000000001</v>
      </c>
    </row>
    <row r="640" spans="1:14" x14ac:dyDescent="0.35">
      <c r="A640" s="6" t="s">
        <v>2396</v>
      </c>
      <c r="B640" s="7">
        <v>45214</v>
      </c>
      <c r="C640" s="6" t="s">
        <v>2397</v>
      </c>
      <c r="D640" s="6" t="s">
        <v>32</v>
      </c>
      <c r="E640">
        <v>4</v>
      </c>
      <c r="F640">
        <v>578.27</v>
      </c>
      <c r="G640" s="6" t="s">
        <v>2398</v>
      </c>
      <c r="H640" s="6" t="s">
        <v>27</v>
      </c>
      <c r="I640" s="6" t="s">
        <v>50</v>
      </c>
      <c r="J640" s="6" t="s">
        <v>2399</v>
      </c>
      <c r="K640">
        <v>9</v>
      </c>
      <c r="L640" s="6" t="s">
        <v>81</v>
      </c>
      <c r="M640" s="6" t="s">
        <v>38</v>
      </c>
      <c r="N640">
        <v>2313.08</v>
      </c>
    </row>
    <row r="641" spans="1:14" x14ac:dyDescent="0.35">
      <c r="A641" s="6" t="s">
        <v>2400</v>
      </c>
      <c r="B641" s="7">
        <v>44946</v>
      </c>
      <c r="C641" s="6" t="s">
        <v>2401</v>
      </c>
      <c r="D641" s="6" t="s">
        <v>41</v>
      </c>
      <c r="E641">
        <v>1</v>
      </c>
      <c r="F641">
        <v>529.19000000000005</v>
      </c>
      <c r="G641" s="6" t="s">
        <v>1798</v>
      </c>
      <c r="H641" s="6" t="s">
        <v>65</v>
      </c>
      <c r="I641" s="6" t="s">
        <v>35</v>
      </c>
      <c r="J641" s="6" t="s">
        <v>2402</v>
      </c>
      <c r="K641">
        <v>5</v>
      </c>
      <c r="L641" s="6" t="s">
        <v>4283</v>
      </c>
      <c r="M641" s="6" t="s">
        <v>29</v>
      </c>
      <c r="N641">
        <v>529.19000000000005</v>
      </c>
    </row>
    <row r="642" spans="1:14" x14ac:dyDescent="0.35">
      <c r="A642" s="6" t="s">
        <v>2403</v>
      </c>
      <c r="B642" s="7">
        <v>45349</v>
      </c>
      <c r="C642" s="6" t="s">
        <v>2404</v>
      </c>
      <c r="D642" s="6" t="s">
        <v>41</v>
      </c>
      <c r="E642">
        <v>2</v>
      </c>
      <c r="F642">
        <v>587.49</v>
      </c>
      <c r="G642" s="6" t="s">
        <v>450</v>
      </c>
      <c r="H642" s="6" t="s">
        <v>60</v>
      </c>
      <c r="I642" s="6" t="s">
        <v>43</v>
      </c>
      <c r="J642" s="6" t="s">
        <v>2405</v>
      </c>
      <c r="K642">
        <v>6</v>
      </c>
      <c r="L642" s="6" t="s">
        <v>21</v>
      </c>
      <c r="M642" s="6" t="s">
        <v>29</v>
      </c>
      <c r="N642">
        <v>1174.98</v>
      </c>
    </row>
    <row r="643" spans="1:14" x14ac:dyDescent="0.35">
      <c r="A643" s="6" t="s">
        <v>2406</v>
      </c>
      <c r="B643" s="7">
        <v>45473</v>
      </c>
      <c r="C643" s="6" t="s">
        <v>2407</v>
      </c>
      <c r="D643" s="6" t="s">
        <v>48</v>
      </c>
      <c r="E643">
        <v>4</v>
      </c>
      <c r="F643">
        <v>567.57000000000005</v>
      </c>
      <c r="G643" s="6" t="s">
        <v>1011</v>
      </c>
      <c r="H643" s="6" t="s">
        <v>18</v>
      </c>
      <c r="I643" s="6" t="s">
        <v>89</v>
      </c>
      <c r="J643" s="6" t="s">
        <v>2408</v>
      </c>
      <c r="K643">
        <v>9</v>
      </c>
      <c r="L643" s="6" t="s">
        <v>81</v>
      </c>
      <c r="M643" s="6" t="s">
        <v>76</v>
      </c>
      <c r="N643">
        <v>2270.2800000000002</v>
      </c>
    </row>
    <row r="644" spans="1:14" x14ac:dyDescent="0.35">
      <c r="A644" s="6" t="s">
        <v>2409</v>
      </c>
      <c r="B644" s="7">
        <v>45411</v>
      </c>
      <c r="C644" s="6" t="s">
        <v>2410</v>
      </c>
      <c r="D644" s="6" t="s">
        <v>41</v>
      </c>
      <c r="E644">
        <v>5</v>
      </c>
      <c r="F644">
        <v>85.22</v>
      </c>
      <c r="G644" s="6" t="s">
        <v>2411</v>
      </c>
      <c r="H644" s="6" t="s">
        <v>34</v>
      </c>
      <c r="I644" s="6" t="s">
        <v>35</v>
      </c>
      <c r="J644" s="6" t="s">
        <v>2412</v>
      </c>
      <c r="K644">
        <v>7</v>
      </c>
      <c r="L644" s="6" t="s">
        <v>37</v>
      </c>
      <c r="M644" s="6" t="s">
        <v>38</v>
      </c>
      <c r="N644">
        <v>426.1</v>
      </c>
    </row>
    <row r="645" spans="1:14" x14ac:dyDescent="0.35">
      <c r="A645" s="6" t="s">
        <v>2413</v>
      </c>
      <c r="B645" s="7">
        <v>45530</v>
      </c>
      <c r="C645" s="6" t="s">
        <v>2414</v>
      </c>
      <c r="D645" s="6" t="s">
        <v>58</v>
      </c>
      <c r="E645">
        <v>1</v>
      </c>
      <c r="F645">
        <v>438.37</v>
      </c>
      <c r="G645" s="6" t="s">
        <v>450</v>
      </c>
      <c r="H645" s="6" t="s">
        <v>65</v>
      </c>
      <c r="I645" s="6" t="s">
        <v>35</v>
      </c>
      <c r="J645" s="6" t="s">
        <v>2415</v>
      </c>
      <c r="K645">
        <v>4</v>
      </c>
      <c r="L645" s="6" t="s">
        <v>21</v>
      </c>
      <c r="M645" s="6" t="s">
        <v>29</v>
      </c>
      <c r="N645">
        <v>438.37</v>
      </c>
    </row>
    <row r="646" spans="1:14" x14ac:dyDescent="0.35">
      <c r="A646" s="6" t="s">
        <v>2416</v>
      </c>
      <c r="B646" s="7">
        <v>45245</v>
      </c>
      <c r="C646" s="6" t="s">
        <v>2417</v>
      </c>
      <c r="D646" s="6" t="s">
        <v>41</v>
      </c>
      <c r="E646">
        <v>2</v>
      </c>
      <c r="F646">
        <v>366.23</v>
      </c>
      <c r="G646" s="6" t="s">
        <v>2418</v>
      </c>
      <c r="H646" s="6" t="s">
        <v>65</v>
      </c>
      <c r="I646" s="6" t="s">
        <v>19</v>
      </c>
      <c r="J646" s="6" t="s">
        <v>2419</v>
      </c>
      <c r="K646">
        <v>2</v>
      </c>
      <c r="L646" s="6" t="s">
        <v>81</v>
      </c>
      <c r="M646" s="6" t="s">
        <v>38</v>
      </c>
      <c r="N646">
        <v>732.46</v>
      </c>
    </row>
    <row r="647" spans="1:14" x14ac:dyDescent="0.35">
      <c r="A647" s="6" t="s">
        <v>2420</v>
      </c>
      <c r="B647" s="7">
        <v>44928</v>
      </c>
      <c r="C647" s="6" t="s">
        <v>2421</v>
      </c>
      <c r="D647" s="6" t="s">
        <v>58</v>
      </c>
      <c r="E647">
        <v>2</v>
      </c>
      <c r="F647">
        <v>150.05000000000001</v>
      </c>
      <c r="G647" s="6" t="s">
        <v>525</v>
      </c>
      <c r="H647" s="6" t="s">
        <v>34</v>
      </c>
      <c r="I647" s="6" t="s">
        <v>35</v>
      </c>
      <c r="J647" s="6" t="s">
        <v>2422</v>
      </c>
      <c r="K647">
        <v>4</v>
      </c>
      <c r="L647" s="6" t="s">
        <v>21</v>
      </c>
      <c r="M647" s="6" t="s">
        <v>45</v>
      </c>
      <c r="N647">
        <v>300.10000000000002</v>
      </c>
    </row>
    <row r="648" spans="1:14" x14ac:dyDescent="0.35">
      <c r="A648" s="6" t="s">
        <v>2423</v>
      </c>
      <c r="B648" s="7">
        <v>45226</v>
      </c>
      <c r="C648" s="6" t="s">
        <v>2424</v>
      </c>
      <c r="D648" s="6" t="s">
        <v>41</v>
      </c>
      <c r="E648">
        <v>4</v>
      </c>
      <c r="F648">
        <v>498.51</v>
      </c>
      <c r="G648" s="6" t="s">
        <v>2425</v>
      </c>
      <c r="H648" s="6" t="s">
        <v>18</v>
      </c>
      <c r="I648" s="6" t="s">
        <v>19</v>
      </c>
      <c r="J648" s="6" t="s">
        <v>2426</v>
      </c>
      <c r="K648">
        <v>4</v>
      </c>
      <c r="L648" s="6" t="s">
        <v>21</v>
      </c>
      <c r="M648" s="6" t="s">
        <v>76</v>
      </c>
      <c r="N648">
        <v>1994.04</v>
      </c>
    </row>
    <row r="649" spans="1:14" x14ac:dyDescent="0.35">
      <c r="A649" s="6" t="s">
        <v>2427</v>
      </c>
      <c r="B649" s="7">
        <v>45771</v>
      </c>
      <c r="C649" s="6" t="s">
        <v>2428</v>
      </c>
      <c r="D649" s="6" t="s">
        <v>73</v>
      </c>
      <c r="E649">
        <v>3</v>
      </c>
      <c r="F649">
        <v>339.39</v>
      </c>
      <c r="G649" s="6" t="s">
        <v>681</v>
      </c>
      <c r="H649" s="6" t="s">
        <v>65</v>
      </c>
      <c r="I649" s="6" t="s">
        <v>43</v>
      </c>
      <c r="J649" s="6" t="s">
        <v>2429</v>
      </c>
      <c r="K649">
        <v>7</v>
      </c>
      <c r="L649" s="6" t="s">
        <v>37</v>
      </c>
      <c r="M649" s="6" t="s">
        <v>76</v>
      </c>
      <c r="N649">
        <v>1018.17</v>
      </c>
    </row>
    <row r="650" spans="1:14" x14ac:dyDescent="0.35">
      <c r="A650" s="6" t="s">
        <v>2430</v>
      </c>
      <c r="B650" s="7">
        <v>45675</v>
      </c>
      <c r="C650" s="6" t="s">
        <v>2431</v>
      </c>
      <c r="D650" s="6" t="s">
        <v>16</v>
      </c>
      <c r="E650">
        <v>2</v>
      </c>
      <c r="F650">
        <v>575.83000000000004</v>
      </c>
      <c r="G650" s="6" t="s">
        <v>2432</v>
      </c>
      <c r="H650" s="6" t="s">
        <v>27</v>
      </c>
      <c r="I650" s="6" t="s">
        <v>50</v>
      </c>
      <c r="J650" s="6" t="s">
        <v>2433</v>
      </c>
      <c r="K650">
        <v>3</v>
      </c>
      <c r="L650" s="6" t="s">
        <v>81</v>
      </c>
      <c r="M650" s="6" t="s">
        <v>29</v>
      </c>
      <c r="N650">
        <v>1151.6600000000001</v>
      </c>
    </row>
    <row r="651" spans="1:14" x14ac:dyDescent="0.35">
      <c r="A651" s="6" t="s">
        <v>2434</v>
      </c>
      <c r="B651" s="7">
        <v>45283</v>
      </c>
      <c r="C651" s="6" t="s">
        <v>2435</v>
      </c>
      <c r="D651" s="6" t="s">
        <v>16</v>
      </c>
      <c r="E651">
        <v>2</v>
      </c>
      <c r="F651">
        <v>642.98</v>
      </c>
      <c r="G651" s="6" t="s">
        <v>1043</v>
      </c>
      <c r="H651" s="6" t="s">
        <v>18</v>
      </c>
      <c r="I651" s="6" t="s">
        <v>43</v>
      </c>
      <c r="J651" s="6" t="s">
        <v>2436</v>
      </c>
      <c r="K651">
        <v>7</v>
      </c>
      <c r="L651" s="6" t="s">
        <v>37</v>
      </c>
      <c r="M651" s="6" t="s">
        <v>38</v>
      </c>
      <c r="N651">
        <v>1285.96</v>
      </c>
    </row>
    <row r="652" spans="1:14" x14ac:dyDescent="0.35">
      <c r="A652" s="6" t="s">
        <v>2437</v>
      </c>
      <c r="B652" s="7">
        <v>45064</v>
      </c>
      <c r="C652" s="6" t="s">
        <v>2438</v>
      </c>
      <c r="D652" s="6" t="s">
        <v>73</v>
      </c>
      <c r="E652">
        <v>2</v>
      </c>
      <c r="F652">
        <v>372.23</v>
      </c>
      <c r="G652" s="6" t="s">
        <v>2439</v>
      </c>
      <c r="H652" s="6" t="s">
        <v>60</v>
      </c>
      <c r="I652" s="6" t="s">
        <v>50</v>
      </c>
      <c r="J652" s="6" t="s">
        <v>2440</v>
      </c>
      <c r="K652">
        <v>7</v>
      </c>
      <c r="L652" s="6" t="s">
        <v>21</v>
      </c>
      <c r="M652" s="6" t="s">
        <v>38</v>
      </c>
      <c r="N652">
        <v>744.46</v>
      </c>
    </row>
    <row r="653" spans="1:14" x14ac:dyDescent="0.35">
      <c r="A653" s="6" t="s">
        <v>2441</v>
      </c>
      <c r="B653" s="7">
        <v>45608</v>
      </c>
      <c r="C653" s="6" t="s">
        <v>2442</v>
      </c>
      <c r="D653" s="6" t="s">
        <v>41</v>
      </c>
      <c r="E653">
        <v>3</v>
      </c>
      <c r="F653">
        <v>646.34</v>
      </c>
      <c r="G653" s="6" t="s">
        <v>794</v>
      </c>
      <c r="H653" s="6" t="s">
        <v>18</v>
      </c>
      <c r="I653" s="6" t="s">
        <v>89</v>
      </c>
      <c r="J653" s="6" t="s">
        <v>2443</v>
      </c>
      <c r="K653">
        <v>5</v>
      </c>
      <c r="L653" s="6" t="s">
        <v>4283</v>
      </c>
      <c r="M653" s="6" t="s">
        <v>76</v>
      </c>
      <c r="N653">
        <v>1939.02</v>
      </c>
    </row>
    <row r="654" spans="1:14" x14ac:dyDescent="0.35">
      <c r="A654" s="6" t="s">
        <v>2444</v>
      </c>
      <c r="B654" s="7">
        <v>45448</v>
      </c>
      <c r="C654" s="6" t="s">
        <v>2445</v>
      </c>
      <c r="D654" s="6" t="s">
        <v>41</v>
      </c>
      <c r="E654">
        <v>5</v>
      </c>
      <c r="F654">
        <v>341.84</v>
      </c>
      <c r="G654" s="6" t="s">
        <v>2446</v>
      </c>
      <c r="H654" s="6" t="s">
        <v>27</v>
      </c>
      <c r="I654" s="6" t="s">
        <v>19</v>
      </c>
      <c r="J654" s="6" t="s">
        <v>2447</v>
      </c>
      <c r="K654">
        <v>8</v>
      </c>
      <c r="L654" s="6" t="s">
        <v>37</v>
      </c>
      <c r="M654" s="6" t="s">
        <v>22</v>
      </c>
      <c r="N654">
        <v>1709.2</v>
      </c>
    </row>
    <row r="655" spans="1:14" x14ac:dyDescent="0.35">
      <c r="A655" s="6" t="s">
        <v>2448</v>
      </c>
      <c r="B655" s="7">
        <v>45347</v>
      </c>
      <c r="C655" s="6" t="s">
        <v>2449</v>
      </c>
      <c r="D655" s="6" t="s">
        <v>48</v>
      </c>
      <c r="E655">
        <v>3</v>
      </c>
      <c r="F655">
        <v>690.3</v>
      </c>
      <c r="G655" s="6" t="s">
        <v>1415</v>
      </c>
      <c r="H655" s="6" t="s">
        <v>34</v>
      </c>
      <c r="I655" s="6" t="s">
        <v>19</v>
      </c>
      <c r="J655" s="6" t="s">
        <v>2450</v>
      </c>
      <c r="K655">
        <v>6</v>
      </c>
      <c r="L655" s="6" t="s">
        <v>81</v>
      </c>
      <c r="M655" s="6" t="s">
        <v>76</v>
      </c>
      <c r="N655">
        <v>2070.9</v>
      </c>
    </row>
    <row r="656" spans="1:14" x14ac:dyDescent="0.35">
      <c r="A656" s="6" t="s">
        <v>2451</v>
      </c>
      <c r="B656" s="7">
        <v>45089</v>
      </c>
      <c r="C656" s="6" t="s">
        <v>2452</v>
      </c>
      <c r="D656" s="6" t="s">
        <v>32</v>
      </c>
      <c r="E656">
        <v>3</v>
      </c>
      <c r="F656">
        <v>382.37</v>
      </c>
      <c r="G656" s="6" t="s">
        <v>2453</v>
      </c>
      <c r="H656" s="6" t="s">
        <v>18</v>
      </c>
      <c r="I656" s="6" t="s">
        <v>43</v>
      </c>
      <c r="J656" s="6" t="s">
        <v>2454</v>
      </c>
      <c r="K656">
        <v>8</v>
      </c>
      <c r="L656" s="6" t="s">
        <v>4283</v>
      </c>
      <c r="M656" s="6" t="s">
        <v>22</v>
      </c>
      <c r="N656">
        <v>1147.1099999999999</v>
      </c>
    </row>
    <row r="657" spans="1:14" x14ac:dyDescent="0.35">
      <c r="A657" s="6" t="s">
        <v>2455</v>
      </c>
      <c r="B657" s="7">
        <v>44999</v>
      </c>
      <c r="C657" s="6" t="s">
        <v>2456</v>
      </c>
      <c r="D657" s="6" t="s">
        <v>41</v>
      </c>
      <c r="E657">
        <v>2</v>
      </c>
      <c r="F657">
        <v>132.6</v>
      </c>
      <c r="G657" s="6" t="s">
        <v>1727</v>
      </c>
      <c r="H657" s="6" t="s">
        <v>18</v>
      </c>
      <c r="I657" s="6" t="s">
        <v>35</v>
      </c>
      <c r="J657" s="6" t="s">
        <v>2457</v>
      </c>
      <c r="K657">
        <v>4</v>
      </c>
      <c r="L657" s="6" t="s">
        <v>81</v>
      </c>
      <c r="M657" s="6" t="s">
        <v>38</v>
      </c>
      <c r="N657">
        <v>265.2</v>
      </c>
    </row>
    <row r="658" spans="1:14" x14ac:dyDescent="0.35">
      <c r="A658" s="6" t="s">
        <v>2458</v>
      </c>
      <c r="B658" s="7">
        <v>45309</v>
      </c>
      <c r="C658" s="6" t="s">
        <v>2459</v>
      </c>
      <c r="D658" s="6" t="s">
        <v>16</v>
      </c>
      <c r="E658">
        <v>2</v>
      </c>
      <c r="F658">
        <v>189.06</v>
      </c>
      <c r="G658" s="6" t="s">
        <v>2460</v>
      </c>
      <c r="H658" s="6" t="s">
        <v>60</v>
      </c>
      <c r="I658" s="6" t="s">
        <v>19</v>
      </c>
      <c r="J658" s="6" t="s">
        <v>2461</v>
      </c>
      <c r="K658">
        <v>7</v>
      </c>
      <c r="L658" s="6" t="s">
        <v>21</v>
      </c>
      <c r="M658" s="6" t="s">
        <v>45</v>
      </c>
      <c r="N658">
        <v>378.12</v>
      </c>
    </row>
    <row r="659" spans="1:14" x14ac:dyDescent="0.35">
      <c r="A659" s="6" t="s">
        <v>2462</v>
      </c>
      <c r="B659" s="7">
        <v>45284</v>
      </c>
      <c r="C659" s="6" t="s">
        <v>2463</v>
      </c>
      <c r="D659" s="6" t="s">
        <v>32</v>
      </c>
      <c r="E659">
        <v>4</v>
      </c>
      <c r="F659">
        <v>87.79</v>
      </c>
      <c r="G659" s="6" t="s">
        <v>1306</v>
      </c>
      <c r="H659" s="6" t="s">
        <v>65</v>
      </c>
      <c r="I659" s="6" t="s">
        <v>35</v>
      </c>
      <c r="J659" s="6" t="s">
        <v>2464</v>
      </c>
      <c r="K659">
        <v>6</v>
      </c>
      <c r="L659" s="6" t="s">
        <v>37</v>
      </c>
      <c r="M659" s="6" t="s">
        <v>22</v>
      </c>
      <c r="N659">
        <v>351.16</v>
      </c>
    </row>
    <row r="660" spans="1:14" x14ac:dyDescent="0.35">
      <c r="A660" s="6" t="s">
        <v>2465</v>
      </c>
      <c r="B660" s="7">
        <v>45765</v>
      </c>
      <c r="C660" s="6" t="s">
        <v>2466</v>
      </c>
      <c r="D660" s="6" t="s">
        <v>48</v>
      </c>
      <c r="E660">
        <v>2</v>
      </c>
      <c r="F660">
        <v>46.36</v>
      </c>
      <c r="G660" s="6" t="s">
        <v>1161</v>
      </c>
      <c r="H660" s="6" t="s">
        <v>60</v>
      </c>
      <c r="I660" s="6" t="s">
        <v>43</v>
      </c>
      <c r="J660" s="6" t="s">
        <v>2467</v>
      </c>
      <c r="K660">
        <v>4</v>
      </c>
      <c r="L660" s="6" t="s">
        <v>21</v>
      </c>
      <c r="M660" s="6" t="s">
        <v>76</v>
      </c>
      <c r="N660">
        <v>92.72</v>
      </c>
    </row>
    <row r="661" spans="1:14" x14ac:dyDescent="0.35">
      <c r="A661" s="6" t="s">
        <v>2468</v>
      </c>
      <c r="B661" s="7">
        <v>45591</v>
      </c>
      <c r="C661" s="6" t="s">
        <v>2469</v>
      </c>
      <c r="D661" s="6" t="s">
        <v>25</v>
      </c>
      <c r="E661">
        <v>2</v>
      </c>
      <c r="F661">
        <v>642.04</v>
      </c>
      <c r="G661" s="6" t="s">
        <v>2079</v>
      </c>
      <c r="H661" s="6" t="s">
        <v>60</v>
      </c>
      <c r="I661" s="6" t="s">
        <v>50</v>
      </c>
      <c r="J661" s="6" t="s">
        <v>2470</v>
      </c>
      <c r="K661">
        <v>4</v>
      </c>
      <c r="L661" s="6" t="s">
        <v>81</v>
      </c>
      <c r="M661" s="6" t="s">
        <v>38</v>
      </c>
      <c r="N661">
        <v>1284.08</v>
      </c>
    </row>
    <row r="662" spans="1:14" x14ac:dyDescent="0.35">
      <c r="A662" s="6" t="s">
        <v>2471</v>
      </c>
      <c r="B662" s="7">
        <v>45584</v>
      </c>
      <c r="C662" s="6" t="s">
        <v>2472</v>
      </c>
      <c r="D662" s="6" t="s">
        <v>41</v>
      </c>
      <c r="E662">
        <v>2</v>
      </c>
      <c r="F662">
        <v>651.57000000000005</v>
      </c>
      <c r="G662" s="6" t="s">
        <v>603</v>
      </c>
      <c r="H662" s="6" t="s">
        <v>18</v>
      </c>
      <c r="I662" s="6" t="s">
        <v>19</v>
      </c>
      <c r="J662" s="6" t="s">
        <v>2473</v>
      </c>
      <c r="K662">
        <v>7</v>
      </c>
      <c r="L662" s="6" t="s">
        <v>81</v>
      </c>
      <c r="M662" s="6" t="s">
        <v>45</v>
      </c>
      <c r="N662">
        <v>1303.1400000000001</v>
      </c>
    </row>
    <row r="663" spans="1:14" x14ac:dyDescent="0.35">
      <c r="A663" s="6" t="s">
        <v>2474</v>
      </c>
      <c r="B663" s="7">
        <v>45716</v>
      </c>
      <c r="C663" s="6" t="s">
        <v>2475</v>
      </c>
      <c r="D663" s="6" t="s">
        <v>32</v>
      </c>
      <c r="E663">
        <v>3</v>
      </c>
      <c r="F663">
        <v>424.89</v>
      </c>
      <c r="G663" s="6" t="s">
        <v>2476</v>
      </c>
      <c r="H663" s="6" t="s">
        <v>18</v>
      </c>
      <c r="I663" s="6" t="s">
        <v>35</v>
      </c>
      <c r="J663" s="6" t="s">
        <v>2477</v>
      </c>
      <c r="K663">
        <v>6</v>
      </c>
      <c r="L663" s="6" t="s">
        <v>37</v>
      </c>
      <c r="M663" s="6" t="s">
        <v>76</v>
      </c>
      <c r="N663">
        <v>1274.67</v>
      </c>
    </row>
    <row r="664" spans="1:14" x14ac:dyDescent="0.35">
      <c r="A664" s="6" t="s">
        <v>2478</v>
      </c>
      <c r="B664" s="7">
        <v>44954</v>
      </c>
      <c r="C664" s="6" t="s">
        <v>2479</v>
      </c>
      <c r="D664" s="6" t="s">
        <v>58</v>
      </c>
      <c r="E664">
        <v>3</v>
      </c>
      <c r="F664">
        <v>438.89</v>
      </c>
      <c r="G664" s="6" t="s">
        <v>2480</v>
      </c>
      <c r="H664" s="6" t="s">
        <v>65</v>
      </c>
      <c r="I664" s="6" t="s">
        <v>43</v>
      </c>
      <c r="J664" s="6" t="s">
        <v>2481</v>
      </c>
      <c r="K664">
        <v>3</v>
      </c>
      <c r="L664" s="6" t="s">
        <v>4283</v>
      </c>
      <c r="M664" s="6" t="s">
        <v>45</v>
      </c>
      <c r="N664">
        <v>1316.67</v>
      </c>
    </row>
    <row r="665" spans="1:14" x14ac:dyDescent="0.35">
      <c r="A665" s="6" t="s">
        <v>2482</v>
      </c>
      <c r="B665" s="7">
        <v>45397</v>
      </c>
      <c r="C665" s="6" t="s">
        <v>2483</v>
      </c>
      <c r="D665" s="6" t="s">
        <v>16</v>
      </c>
      <c r="E665">
        <v>1</v>
      </c>
      <c r="F665">
        <v>72.599999999999994</v>
      </c>
      <c r="G665" s="6" t="s">
        <v>1988</v>
      </c>
      <c r="H665" s="6" t="s">
        <v>18</v>
      </c>
      <c r="I665" s="6" t="s">
        <v>35</v>
      </c>
      <c r="J665" s="6" t="s">
        <v>2484</v>
      </c>
      <c r="K665">
        <v>6</v>
      </c>
      <c r="L665" s="6" t="s">
        <v>37</v>
      </c>
      <c r="M665" s="6" t="s">
        <v>22</v>
      </c>
      <c r="N665">
        <v>72.599999999999994</v>
      </c>
    </row>
    <row r="666" spans="1:14" x14ac:dyDescent="0.35">
      <c r="A666" s="6" t="s">
        <v>2485</v>
      </c>
      <c r="B666" s="7">
        <v>45645</v>
      </c>
      <c r="C666" s="6" t="s">
        <v>951</v>
      </c>
      <c r="D666" s="6" t="s">
        <v>58</v>
      </c>
      <c r="E666">
        <v>4</v>
      </c>
      <c r="F666">
        <v>194.75</v>
      </c>
      <c r="G666" s="6" t="s">
        <v>2486</v>
      </c>
      <c r="H666" s="6" t="s">
        <v>65</v>
      </c>
      <c r="I666" s="6" t="s">
        <v>19</v>
      </c>
      <c r="J666" s="6" t="s">
        <v>2487</v>
      </c>
      <c r="K666">
        <v>5</v>
      </c>
      <c r="L666" s="6" t="s">
        <v>4283</v>
      </c>
      <c r="M666" s="6" t="s">
        <v>45</v>
      </c>
      <c r="N666">
        <v>779</v>
      </c>
    </row>
    <row r="667" spans="1:14" x14ac:dyDescent="0.35">
      <c r="A667" s="6" t="s">
        <v>2488</v>
      </c>
      <c r="B667" s="7">
        <v>45048</v>
      </c>
      <c r="C667" s="6" t="s">
        <v>2489</v>
      </c>
      <c r="D667" s="6" t="s">
        <v>32</v>
      </c>
      <c r="E667">
        <v>4</v>
      </c>
      <c r="F667">
        <v>231.26</v>
      </c>
      <c r="G667" s="6" t="s">
        <v>2490</v>
      </c>
      <c r="H667" s="6" t="s">
        <v>27</v>
      </c>
      <c r="I667" s="6" t="s">
        <v>19</v>
      </c>
      <c r="J667" s="6" t="s">
        <v>2491</v>
      </c>
      <c r="K667">
        <v>6</v>
      </c>
      <c r="L667" s="6" t="s">
        <v>81</v>
      </c>
      <c r="M667" s="6" t="s">
        <v>76</v>
      </c>
      <c r="N667">
        <v>925.04</v>
      </c>
    </row>
    <row r="668" spans="1:14" x14ac:dyDescent="0.35">
      <c r="A668" s="6" t="s">
        <v>2492</v>
      </c>
      <c r="B668" s="7">
        <v>45535</v>
      </c>
      <c r="C668" s="6" t="s">
        <v>2493</v>
      </c>
      <c r="D668" s="6" t="s">
        <v>16</v>
      </c>
      <c r="E668">
        <v>4</v>
      </c>
      <c r="F668">
        <v>327.12</v>
      </c>
      <c r="G668" s="6" t="s">
        <v>2294</v>
      </c>
      <c r="H668" s="6" t="s">
        <v>34</v>
      </c>
      <c r="I668" s="6" t="s">
        <v>35</v>
      </c>
      <c r="J668" s="6" t="s">
        <v>2494</v>
      </c>
      <c r="K668">
        <v>4</v>
      </c>
      <c r="L668" s="6" t="s">
        <v>4283</v>
      </c>
      <c r="M668" s="6" t="s">
        <v>38</v>
      </c>
      <c r="N668">
        <v>1308.48</v>
      </c>
    </row>
    <row r="669" spans="1:14" x14ac:dyDescent="0.35">
      <c r="A669" s="6" t="s">
        <v>2495</v>
      </c>
      <c r="B669" s="7">
        <v>45049</v>
      </c>
      <c r="C669" s="6" t="s">
        <v>2496</v>
      </c>
      <c r="D669" s="6" t="s">
        <v>58</v>
      </c>
      <c r="E669">
        <v>1</v>
      </c>
      <c r="F669">
        <v>466.42</v>
      </c>
      <c r="G669" s="6" t="s">
        <v>830</v>
      </c>
      <c r="H669" s="6" t="s">
        <v>60</v>
      </c>
      <c r="I669" s="6" t="s">
        <v>89</v>
      </c>
      <c r="J669" s="6" t="s">
        <v>2497</v>
      </c>
      <c r="K669">
        <v>5</v>
      </c>
      <c r="L669" s="6" t="s">
        <v>21</v>
      </c>
      <c r="M669" s="6" t="s">
        <v>38</v>
      </c>
      <c r="N669">
        <v>466.42</v>
      </c>
    </row>
    <row r="670" spans="1:14" x14ac:dyDescent="0.35">
      <c r="A670" s="6" t="s">
        <v>2498</v>
      </c>
      <c r="B670" s="7">
        <v>45478</v>
      </c>
      <c r="C670" s="6" t="s">
        <v>2499</v>
      </c>
      <c r="D670" s="6" t="s">
        <v>16</v>
      </c>
      <c r="E670">
        <v>2</v>
      </c>
      <c r="F670">
        <v>253.67</v>
      </c>
      <c r="G670" s="6" t="s">
        <v>630</v>
      </c>
      <c r="H670" s="6" t="s">
        <v>65</v>
      </c>
      <c r="I670" s="6" t="s">
        <v>43</v>
      </c>
      <c r="J670" s="6" t="s">
        <v>2500</v>
      </c>
      <c r="K670">
        <v>3</v>
      </c>
      <c r="L670" s="6" t="s">
        <v>81</v>
      </c>
      <c r="M670" s="6" t="s">
        <v>45</v>
      </c>
      <c r="N670">
        <v>507.34</v>
      </c>
    </row>
    <row r="671" spans="1:14" x14ac:dyDescent="0.35">
      <c r="A671" s="6" t="s">
        <v>2501</v>
      </c>
      <c r="B671" s="7">
        <v>44962</v>
      </c>
      <c r="C671" s="6" t="s">
        <v>2502</v>
      </c>
      <c r="D671" s="6" t="s">
        <v>73</v>
      </c>
      <c r="E671">
        <v>1</v>
      </c>
      <c r="F671">
        <v>257</v>
      </c>
      <c r="G671" s="6" t="s">
        <v>2503</v>
      </c>
      <c r="H671" s="6" t="s">
        <v>18</v>
      </c>
      <c r="I671" s="6" t="s">
        <v>35</v>
      </c>
      <c r="J671" s="6" t="s">
        <v>2504</v>
      </c>
      <c r="K671">
        <v>5</v>
      </c>
      <c r="L671" s="6" t="s">
        <v>4283</v>
      </c>
      <c r="M671" s="6" t="s">
        <v>29</v>
      </c>
      <c r="N671">
        <v>257</v>
      </c>
    </row>
    <row r="672" spans="1:14" x14ac:dyDescent="0.35">
      <c r="A672" s="6" t="s">
        <v>2505</v>
      </c>
      <c r="B672" s="7">
        <v>45400</v>
      </c>
      <c r="C672" s="6" t="s">
        <v>2506</v>
      </c>
      <c r="D672" s="6" t="s">
        <v>73</v>
      </c>
      <c r="E672">
        <v>4</v>
      </c>
      <c r="F672">
        <v>539.20000000000005</v>
      </c>
      <c r="G672" s="6" t="s">
        <v>1415</v>
      </c>
      <c r="H672" s="6" t="s">
        <v>34</v>
      </c>
      <c r="I672" s="6" t="s">
        <v>89</v>
      </c>
      <c r="J672" s="6" t="s">
        <v>2507</v>
      </c>
      <c r="K672">
        <v>8</v>
      </c>
      <c r="L672" s="6" t="s">
        <v>37</v>
      </c>
      <c r="M672" s="6" t="s">
        <v>76</v>
      </c>
      <c r="N672">
        <v>2156.8000000000002</v>
      </c>
    </row>
    <row r="673" spans="1:14" x14ac:dyDescent="0.35">
      <c r="A673" s="6" t="s">
        <v>2508</v>
      </c>
      <c r="B673" s="7">
        <v>45092</v>
      </c>
      <c r="C673" s="6" t="s">
        <v>2509</v>
      </c>
      <c r="D673" s="6" t="s">
        <v>41</v>
      </c>
      <c r="E673">
        <v>5</v>
      </c>
      <c r="F673">
        <v>50.74</v>
      </c>
      <c r="G673" s="6" t="s">
        <v>659</v>
      </c>
      <c r="H673" s="6" t="s">
        <v>60</v>
      </c>
      <c r="I673" s="6" t="s">
        <v>35</v>
      </c>
      <c r="J673" s="6" t="s">
        <v>2510</v>
      </c>
      <c r="K673">
        <v>7</v>
      </c>
      <c r="L673" s="6" t="s">
        <v>81</v>
      </c>
      <c r="M673" s="6" t="s">
        <v>76</v>
      </c>
      <c r="N673">
        <v>253.7</v>
      </c>
    </row>
    <row r="674" spans="1:14" x14ac:dyDescent="0.35">
      <c r="A674" s="6" t="s">
        <v>2511</v>
      </c>
      <c r="B674" s="7">
        <v>45055</v>
      </c>
      <c r="C674" s="6" t="s">
        <v>2512</v>
      </c>
      <c r="D674" s="6" t="s">
        <v>25</v>
      </c>
      <c r="E674">
        <v>2</v>
      </c>
      <c r="F674">
        <v>624.16</v>
      </c>
      <c r="G674" s="6" t="s">
        <v>2321</v>
      </c>
      <c r="H674" s="6" t="s">
        <v>18</v>
      </c>
      <c r="I674" s="6" t="s">
        <v>19</v>
      </c>
      <c r="J674" s="6" t="s">
        <v>2513</v>
      </c>
      <c r="K674">
        <v>2</v>
      </c>
      <c r="L674" s="6" t="s">
        <v>21</v>
      </c>
      <c r="M674" s="6" t="s">
        <v>22</v>
      </c>
      <c r="N674">
        <v>1248.32</v>
      </c>
    </row>
    <row r="675" spans="1:14" x14ac:dyDescent="0.35">
      <c r="A675" s="6" t="s">
        <v>2514</v>
      </c>
      <c r="B675" s="7">
        <v>44978</v>
      </c>
      <c r="C675" s="6" t="s">
        <v>2515</v>
      </c>
      <c r="D675" s="6" t="s">
        <v>32</v>
      </c>
      <c r="E675">
        <v>2</v>
      </c>
      <c r="F675">
        <v>372.92</v>
      </c>
      <c r="G675" s="6" t="s">
        <v>470</v>
      </c>
      <c r="H675" s="6" t="s">
        <v>34</v>
      </c>
      <c r="I675" s="6" t="s">
        <v>50</v>
      </c>
      <c r="J675" s="6" t="s">
        <v>2516</v>
      </c>
      <c r="K675">
        <v>7</v>
      </c>
      <c r="L675" s="6" t="s">
        <v>21</v>
      </c>
      <c r="M675" s="6" t="s">
        <v>38</v>
      </c>
      <c r="N675">
        <v>745.84</v>
      </c>
    </row>
    <row r="676" spans="1:14" x14ac:dyDescent="0.35">
      <c r="A676" s="6" t="s">
        <v>2517</v>
      </c>
      <c r="B676" s="7">
        <v>45300</v>
      </c>
      <c r="C676" s="6" t="s">
        <v>2518</v>
      </c>
      <c r="D676" s="6" t="s">
        <v>58</v>
      </c>
      <c r="E676">
        <v>4</v>
      </c>
      <c r="F676">
        <v>358.75</v>
      </c>
      <c r="G676" s="6" t="s">
        <v>2519</v>
      </c>
      <c r="H676" s="6" t="s">
        <v>60</v>
      </c>
      <c r="I676" s="6" t="s">
        <v>50</v>
      </c>
      <c r="J676" s="6" t="s">
        <v>2520</v>
      </c>
      <c r="K676">
        <v>9</v>
      </c>
      <c r="L676" s="6" t="s">
        <v>21</v>
      </c>
      <c r="M676" s="6" t="s">
        <v>45</v>
      </c>
      <c r="N676">
        <v>1435</v>
      </c>
    </row>
    <row r="677" spans="1:14" x14ac:dyDescent="0.35">
      <c r="A677" s="6" t="s">
        <v>2521</v>
      </c>
      <c r="B677" s="7">
        <v>45510</v>
      </c>
      <c r="C677" s="6" t="s">
        <v>2522</v>
      </c>
      <c r="D677" s="6" t="s">
        <v>73</v>
      </c>
      <c r="E677">
        <v>3</v>
      </c>
      <c r="F677">
        <v>342.02</v>
      </c>
      <c r="G677" s="6" t="s">
        <v>2040</v>
      </c>
      <c r="H677" s="6" t="s">
        <v>18</v>
      </c>
      <c r="I677" s="6" t="s">
        <v>89</v>
      </c>
      <c r="J677" s="6" t="s">
        <v>2523</v>
      </c>
      <c r="K677">
        <v>5</v>
      </c>
      <c r="L677" s="6" t="s">
        <v>4283</v>
      </c>
      <c r="M677" s="6" t="s">
        <v>38</v>
      </c>
      <c r="N677">
        <v>1026.06</v>
      </c>
    </row>
    <row r="678" spans="1:14" x14ac:dyDescent="0.35">
      <c r="A678" s="6" t="s">
        <v>2524</v>
      </c>
      <c r="B678" s="7">
        <v>45831</v>
      </c>
      <c r="C678" s="6" t="s">
        <v>2525</v>
      </c>
      <c r="D678" s="6" t="s">
        <v>58</v>
      </c>
      <c r="E678">
        <v>2</v>
      </c>
      <c r="F678">
        <v>422.34</v>
      </c>
      <c r="G678" s="6" t="s">
        <v>2480</v>
      </c>
      <c r="H678" s="6" t="s">
        <v>34</v>
      </c>
      <c r="I678" s="6" t="s">
        <v>35</v>
      </c>
      <c r="J678" s="6" t="s">
        <v>2526</v>
      </c>
      <c r="K678">
        <v>4</v>
      </c>
      <c r="L678" s="6" t="s">
        <v>37</v>
      </c>
      <c r="M678" s="6" t="s">
        <v>22</v>
      </c>
      <c r="N678">
        <v>844.68</v>
      </c>
    </row>
    <row r="679" spans="1:14" x14ac:dyDescent="0.35">
      <c r="A679" s="6" t="s">
        <v>2527</v>
      </c>
      <c r="B679" s="7">
        <v>45750</v>
      </c>
      <c r="C679" s="6" t="s">
        <v>2528</v>
      </c>
      <c r="D679" s="6" t="s">
        <v>32</v>
      </c>
      <c r="E679">
        <v>5</v>
      </c>
      <c r="F679">
        <v>22.07</v>
      </c>
      <c r="G679" s="6" t="s">
        <v>88</v>
      </c>
      <c r="H679" s="6" t="s">
        <v>27</v>
      </c>
      <c r="I679" s="6" t="s">
        <v>35</v>
      </c>
      <c r="J679" s="6" t="s">
        <v>2529</v>
      </c>
      <c r="K679">
        <v>7</v>
      </c>
      <c r="L679" s="6" t="s">
        <v>37</v>
      </c>
      <c r="M679" s="6" t="s">
        <v>22</v>
      </c>
      <c r="N679">
        <v>110.35</v>
      </c>
    </row>
    <row r="680" spans="1:14" x14ac:dyDescent="0.35">
      <c r="A680" s="6" t="s">
        <v>2530</v>
      </c>
      <c r="B680" s="7">
        <v>45620</v>
      </c>
      <c r="C680" s="6" t="s">
        <v>2531</v>
      </c>
      <c r="D680" s="6" t="s">
        <v>41</v>
      </c>
      <c r="E680">
        <v>3</v>
      </c>
      <c r="F680">
        <v>163.13</v>
      </c>
      <c r="G680" s="6" t="s">
        <v>888</v>
      </c>
      <c r="H680" s="6" t="s">
        <v>60</v>
      </c>
      <c r="I680" s="6" t="s">
        <v>19</v>
      </c>
      <c r="J680" s="6" t="s">
        <v>2532</v>
      </c>
      <c r="K680">
        <v>5</v>
      </c>
      <c r="L680" s="6" t="s">
        <v>81</v>
      </c>
      <c r="M680" s="6" t="s">
        <v>45</v>
      </c>
      <c r="N680">
        <v>489.39</v>
      </c>
    </row>
    <row r="681" spans="1:14" x14ac:dyDescent="0.35">
      <c r="A681" s="6" t="s">
        <v>2533</v>
      </c>
      <c r="B681" s="7">
        <v>44959</v>
      </c>
      <c r="C681" s="6" t="s">
        <v>2534</v>
      </c>
      <c r="D681" s="6" t="s">
        <v>32</v>
      </c>
      <c r="E681">
        <v>3</v>
      </c>
      <c r="F681">
        <v>360.66</v>
      </c>
      <c r="G681" s="6" t="s">
        <v>1564</v>
      </c>
      <c r="H681" s="6" t="s">
        <v>27</v>
      </c>
      <c r="I681" s="6" t="s">
        <v>43</v>
      </c>
      <c r="J681" s="6" t="s">
        <v>2535</v>
      </c>
      <c r="K681">
        <v>5</v>
      </c>
      <c r="L681" s="6" t="s">
        <v>37</v>
      </c>
      <c r="M681" s="6" t="s">
        <v>22</v>
      </c>
      <c r="N681">
        <v>1081.98</v>
      </c>
    </row>
    <row r="682" spans="1:14" x14ac:dyDescent="0.35">
      <c r="A682" s="6" t="s">
        <v>2536</v>
      </c>
      <c r="B682" s="7">
        <v>45165</v>
      </c>
      <c r="C682" s="6" t="s">
        <v>2537</v>
      </c>
      <c r="D682" s="6" t="s">
        <v>16</v>
      </c>
      <c r="E682">
        <v>3</v>
      </c>
      <c r="F682">
        <v>463.39</v>
      </c>
      <c r="G682" s="6" t="s">
        <v>2538</v>
      </c>
      <c r="H682" s="6" t="s">
        <v>34</v>
      </c>
      <c r="I682" s="6" t="s">
        <v>43</v>
      </c>
      <c r="J682" s="6" t="s">
        <v>2539</v>
      </c>
      <c r="K682">
        <v>3</v>
      </c>
      <c r="L682" s="6" t="s">
        <v>4283</v>
      </c>
      <c r="M682" s="6" t="s">
        <v>45</v>
      </c>
      <c r="N682">
        <v>1390.17</v>
      </c>
    </row>
    <row r="683" spans="1:14" x14ac:dyDescent="0.35">
      <c r="A683" s="6" t="s">
        <v>2540</v>
      </c>
      <c r="B683" s="7">
        <v>45321</v>
      </c>
      <c r="C683" s="6" t="s">
        <v>2541</v>
      </c>
      <c r="D683" s="6" t="s">
        <v>32</v>
      </c>
      <c r="E683">
        <v>1</v>
      </c>
      <c r="F683">
        <v>155.27000000000001</v>
      </c>
      <c r="G683" s="6" t="s">
        <v>2542</v>
      </c>
      <c r="H683" s="6" t="s">
        <v>18</v>
      </c>
      <c r="I683" s="6" t="s">
        <v>19</v>
      </c>
      <c r="J683" s="6" t="s">
        <v>2543</v>
      </c>
      <c r="K683">
        <v>6</v>
      </c>
      <c r="L683" s="6" t="s">
        <v>4283</v>
      </c>
      <c r="M683" s="6" t="s">
        <v>38</v>
      </c>
      <c r="N683">
        <v>155.27000000000001</v>
      </c>
    </row>
    <row r="684" spans="1:14" x14ac:dyDescent="0.35">
      <c r="A684" s="6" t="s">
        <v>2544</v>
      </c>
      <c r="B684" s="7">
        <v>45130</v>
      </c>
      <c r="C684" s="6" t="s">
        <v>2545</v>
      </c>
      <c r="D684" s="6" t="s">
        <v>16</v>
      </c>
      <c r="E684">
        <v>3</v>
      </c>
      <c r="F684">
        <v>509.42</v>
      </c>
      <c r="G684" s="6" t="s">
        <v>1827</v>
      </c>
      <c r="H684" s="6" t="s">
        <v>34</v>
      </c>
      <c r="I684" s="6" t="s">
        <v>35</v>
      </c>
      <c r="J684" s="6" t="s">
        <v>2546</v>
      </c>
      <c r="K684">
        <v>5</v>
      </c>
      <c r="L684" s="6" t="s">
        <v>37</v>
      </c>
      <c r="M684" s="6" t="s">
        <v>76</v>
      </c>
      <c r="N684">
        <v>1528.26</v>
      </c>
    </row>
    <row r="685" spans="1:14" x14ac:dyDescent="0.35">
      <c r="A685" s="6" t="s">
        <v>2547</v>
      </c>
      <c r="B685" s="7">
        <v>45795</v>
      </c>
      <c r="C685" s="6" t="s">
        <v>2548</v>
      </c>
      <c r="D685" s="6" t="s">
        <v>73</v>
      </c>
      <c r="E685">
        <v>4</v>
      </c>
      <c r="F685">
        <v>652.48</v>
      </c>
      <c r="G685" s="6" t="s">
        <v>2549</v>
      </c>
      <c r="H685" s="6" t="s">
        <v>65</v>
      </c>
      <c r="I685" s="6" t="s">
        <v>89</v>
      </c>
      <c r="J685" s="6" t="s">
        <v>2550</v>
      </c>
      <c r="K685">
        <v>5</v>
      </c>
      <c r="L685" s="6" t="s">
        <v>37</v>
      </c>
      <c r="M685" s="6" t="s">
        <v>22</v>
      </c>
      <c r="N685">
        <v>2609.92</v>
      </c>
    </row>
    <row r="686" spans="1:14" x14ac:dyDescent="0.35">
      <c r="A686" s="6" t="s">
        <v>2551</v>
      </c>
      <c r="B686" s="7">
        <v>45557</v>
      </c>
      <c r="C686" s="6" t="s">
        <v>2552</v>
      </c>
      <c r="D686" s="6" t="s">
        <v>48</v>
      </c>
      <c r="E686">
        <v>4</v>
      </c>
      <c r="F686">
        <v>34.840000000000003</v>
      </c>
      <c r="G686" s="6" t="s">
        <v>2553</v>
      </c>
      <c r="H686" s="6" t="s">
        <v>34</v>
      </c>
      <c r="I686" s="6" t="s">
        <v>19</v>
      </c>
      <c r="J686" s="6" t="s">
        <v>2554</v>
      </c>
      <c r="K686">
        <v>8</v>
      </c>
      <c r="L686" s="6" t="s">
        <v>4283</v>
      </c>
      <c r="M686" s="6" t="s">
        <v>38</v>
      </c>
      <c r="N686">
        <v>139.36000000000001</v>
      </c>
    </row>
    <row r="687" spans="1:14" x14ac:dyDescent="0.35">
      <c r="A687" s="6" t="s">
        <v>2555</v>
      </c>
      <c r="B687" s="7">
        <v>45695</v>
      </c>
      <c r="C687" s="6" t="s">
        <v>2556</v>
      </c>
      <c r="D687" s="6" t="s">
        <v>73</v>
      </c>
      <c r="E687">
        <v>1</v>
      </c>
      <c r="F687">
        <v>234.37</v>
      </c>
      <c r="G687" s="6" t="s">
        <v>2557</v>
      </c>
      <c r="H687" s="6" t="s">
        <v>18</v>
      </c>
      <c r="I687" s="6" t="s">
        <v>19</v>
      </c>
      <c r="J687" s="6" t="s">
        <v>2558</v>
      </c>
      <c r="K687">
        <v>5</v>
      </c>
      <c r="L687" s="6" t="s">
        <v>37</v>
      </c>
      <c r="M687" s="6" t="s">
        <v>38</v>
      </c>
      <c r="N687">
        <v>234.37</v>
      </c>
    </row>
    <row r="688" spans="1:14" x14ac:dyDescent="0.35">
      <c r="A688" s="6" t="s">
        <v>2559</v>
      </c>
      <c r="B688" s="7">
        <v>45208</v>
      </c>
      <c r="C688" s="6" t="s">
        <v>2560</v>
      </c>
      <c r="D688" s="6" t="s">
        <v>73</v>
      </c>
      <c r="E688">
        <v>3</v>
      </c>
      <c r="F688">
        <v>53.6</v>
      </c>
      <c r="G688" s="6" t="s">
        <v>2561</v>
      </c>
      <c r="H688" s="6" t="s">
        <v>65</v>
      </c>
      <c r="I688" s="6" t="s">
        <v>89</v>
      </c>
      <c r="J688" s="6" t="s">
        <v>2562</v>
      </c>
      <c r="K688">
        <v>4</v>
      </c>
      <c r="L688" s="6" t="s">
        <v>81</v>
      </c>
      <c r="M688" s="6" t="s">
        <v>45</v>
      </c>
      <c r="N688">
        <v>160.80000000000001</v>
      </c>
    </row>
    <row r="689" spans="1:14" x14ac:dyDescent="0.35">
      <c r="A689" s="6" t="s">
        <v>2563</v>
      </c>
      <c r="B689" s="7">
        <v>45182</v>
      </c>
      <c r="C689" s="6" t="s">
        <v>2564</v>
      </c>
      <c r="D689" s="6" t="s">
        <v>32</v>
      </c>
      <c r="E689">
        <v>1</v>
      </c>
      <c r="F689">
        <v>332.09</v>
      </c>
      <c r="G689" s="6" t="s">
        <v>2565</v>
      </c>
      <c r="H689" s="6" t="s">
        <v>60</v>
      </c>
      <c r="I689" s="6" t="s">
        <v>43</v>
      </c>
      <c r="J689" s="6" t="s">
        <v>2566</v>
      </c>
      <c r="K689">
        <v>5</v>
      </c>
      <c r="L689" s="6" t="s">
        <v>37</v>
      </c>
      <c r="M689" s="6" t="s">
        <v>22</v>
      </c>
      <c r="N689">
        <v>332.09</v>
      </c>
    </row>
    <row r="690" spans="1:14" x14ac:dyDescent="0.35">
      <c r="A690" s="6" t="s">
        <v>2567</v>
      </c>
      <c r="B690" s="7">
        <v>45357</v>
      </c>
      <c r="C690" s="6" t="s">
        <v>2568</v>
      </c>
      <c r="D690" s="6" t="s">
        <v>16</v>
      </c>
      <c r="E690">
        <v>4</v>
      </c>
      <c r="F690">
        <v>593.22</v>
      </c>
      <c r="G690" s="6" t="s">
        <v>2311</v>
      </c>
      <c r="H690" s="6" t="s">
        <v>34</v>
      </c>
      <c r="I690" s="6" t="s">
        <v>35</v>
      </c>
      <c r="J690" s="6" t="s">
        <v>2569</v>
      </c>
      <c r="K690">
        <v>8</v>
      </c>
      <c r="L690" s="6" t="s">
        <v>81</v>
      </c>
      <c r="M690" s="6" t="s">
        <v>45</v>
      </c>
      <c r="N690">
        <v>2372.88</v>
      </c>
    </row>
    <row r="691" spans="1:14" x14ac:dyDescent="0.35">
      <c r="A691" s="6" t="s">
        <v>2570</v>
      </c>
      <c r="B691" s="7">
        <v>45167</v>
      </c>
      <c r="C691" s="6" t="s">
        <v>2571</v>
      </c>
      <c r="D691" s="6" t="s">
        <v>32</v>
      </c>
      <c r="E691">
        <v>2</v>
      </c>
      <c r="F691">
        <v>444.84</v>
      </c>
      <c r="G691" s="6" t="s">
        <v>2572</v>
      </c>
      <c r="H691" s="6" t="s">
        <v>27</v>
      </c>
      <c r="I691" s="6" t="s">
        <v>19</v>
      </c>
      <c r="J691" s="6" t="s">
        <v>2573</v>
      </c>
      <c r="K691">
        <v>7</v>
      </c>
      <c r="L691" s="6" t="s">
        <v>4283</v>
      </c>
      <c r="M691" s="6" t="s">
        <v>45</v>
      </c>
      <c r="N691">
        <v>889.68</v>
      </c>
    </row>
    <row r="692" spans="1:14" x14ac:dyDescent="0.35">
      <c r="A692" s="6" t="s">
        <v>2574</v>
      </c>
      <c r="B692" s="7">
        <v>45485</v>
      </c>
      <c r="C692" s="6" t="s">
        <v>2575</v>
      </c>
      <c r="D692" s="6" t="s">
        <v>16</v>
      </c>
      <c r="E692">
        <v>1</v>
      </c>
      <c r="F692">
        <v>24.48</v>
      </c>
      <c r="G692" s="6" t="s">
        <v>181</v>
      </c>
      <c r="H692" s="6" t="s">
        <v>60</v>
      </c>
      <c r="I692" s="6" t="s">
        <v>43</v>
      </c>
      <c r="J692" s="6" t="s">
        <v>2576</v>
      </c>
      <c r="K692">
        <v>1</v>
      </c>
      <c r="L692" s="6" t="s">
        <v>4283</v>
      </c>
      <c r="M692" s="6" t="s">
        <v>22</v>
      </c>
      <c r="N692">
        <v>24.48</v>
      </c>
    </row>
    <row r="693" spans="1:14" x14ac:dyDescent="0.35">
      <c r="A693" s="6" t="s">
        <v>2577</v>
      </c>
      <c r="B693" s="7">
        <v>45620</v>
      </c>
      <c r="C693" s="6" t="s">
        <v>2578</v>
      </c>
      <c r="D693" s="6" t="s">
        <v>58</v>
      </c>
      <c r="E693">
        <v>3</v>
      </c>
      <c r="F693">
        <v>239.08</v>
      </c>
      <c r="G693" s="6" t="s">
        <v>2579</v>
      </c>
      <c r="H693" s="6" t="s">
        <v>65</v>
      </c>
      <c r="I693" s="6" t="s">
        <v>19</v>
      </c>
      <c r="J693" s="6" t="s">
        <v>2580</v>
      </c>
      <c r="K693">
        <v>8</v>
      </c>
      <c r="L693" s="6" t="s">
        <v>4283</v>
      </c>
      <c r="M693" s="6" t="s">
        <v>76</v>
      </c>
      <c r="N693">
        <v>717.24</v>
      </c>
    </row>
    <row r="694" spans="1:14" x14ac:dyDescent="0.35">
      <c r="A694" s="6" t="s">
        <v>2581</v>
      </c>
      <c r="B694" s="7">
        <v>44949</v>
      </c>
      <c r="C694" s="6" t="s">
        <v>2582</v>
      </c>
      <c r="D694" s="6" t="s">
        <v>73</v>
      </c>
      <c r="E694">
        <v>5</v>
      </c>
      <c r="F694">
        <v>196.84</v>
      </c>
      <c r="G694" s="6" t="s">
        <v>1560</v>
      </c>
      <c r="H694" s="6" t="s">
        <v>34</v>
      </c>
      <c r="I694" s="6" t="s">
        <v>50</v>
      </c>
      <c r="J694" s="6" t="s">
        <v>2583</v>
      </c>
      <c r="K694">
        <v>5</v>
      </c>
      <c r="L694" s="6" t="s">
        <v>81</v>
      </c>
      <c r="M694" s="6" t="s">
        <v>22</v>
      </c>
      <c r="N694">
        <v>984.2</v>
      </c>
    </row>
    <row r="695" spans="1:14" x14ac:dyDescent="0.35">
      <c r="A695" s="6" t="s">
        <v>2584</v>
      </c>
      <c r="B695" s="7">
        <v>45728</v>
      </c>
      <c r="C695" s="6" t="s">
        <v>2585</v>
      </c>
      <c r="D695" s="6" t="s">
        <v>16</v>
      </c>
      <c r="E695">
        <v>1</v>
      </c>
      <c r="F695">
        <v>176.58</v>
      </c>
      <c r="G695" s="6" t="s">
        <v>2586</v>
      </c>
      <c r="H695" s="6" t="s">
        <v>18</v>
      </c>
      <c r="I695" s="6" t="s">
        <v>43</v>
      </c>
      <c r="J695" s="6" t="s">
        <v>2587</v>
      </c>
      <c r="K695">
        <v>4</v>
      </c>
      <c r="L695" s="6" t="s">
        <v>4283</v>
      </c>
      <c r="M695" s="6" t="s">
        <v>29</v>
      </c>
      <c r="N695">
        <v>176.58</v>
      </c>
    </row>
    <row r="696" spans="1:14" x14ac:dyDescent="0.35">
      <c r="A696" s="6" t="s">
        <v>2588</v>
      </c>
      <c r="B696" s="7">
        <v>45201</v>
      </c>
      <c r="C696" s="6" t="s">
        <v>2589</v>
      </c>
      <c r="D696" s="6" t="s">
        <v>48</v>
      </c>
      <c r="E696">
        <v>4</v>
      </c>
      <c r="F696">
        <v>666.52</v>
      </c>
      <c r="G696" s="6" t="s">
        <v>1352</v>
      </c>
      <c r="H696" s="6" t="s">
        <v>65</v>
      </c>
      <c r="I696" s="6" t="s">
        <v>19</v>
      </c>
      <c r="J696" s="6" t="s">
        <v>2590</v>
      </c>
      <c r="K696">
        <v>8</v>
      </c>
      <c r="L696" s="6" t="s">
        <v>37</v>
      </c>
      <c r="M696" s="6" t="s">
        <v>38</v>
      </c>
      <c r="N696">
        <v>2666.08</v>
      </c>
    </row>
    <row r="697" spans="1:14" x14ac:dyDescent="0.35">
      <c r="A697" s="6" t="s">
        <v>2591</v>
      </c>
      <c r="B697" s="7">
        <v>45619</v>
      </c>
      <c r="C697" s="6" t="s">
        <v>2592</v>
      </c>
      <c r="D697" s="6" t="s">
        <v>48</v>
      </c>
      <c r="E697">
        <v>5</v>
      </c>
      <c r="F697">
        <v>101.3</v>
      </c>
      <c r="G697" s="6" t="s">
        <v>727</v>
      </c>
      <c r="H697" s="6" t="s">
        <v>27</v>
      </c>
      <c r="I697" s="6" t="s">
        <v>19</v>
      </c>
      <c r="J697" s="6" t="s">
        <v>2593</v>
      </c>
      <c r="K697">
        <v>7</v>
      </c>
      <c r="L697" s="6" t="s">
        <v>37</v>
      </c>
      <c r="M697" s="6" t="s">
        <v>38</v>
      </c>
      <c r="N697">
        <v>506.5</v>
      </c>
    </row>
    <row r="698" spans="1:14" x14ac:dyDescent="0.35">
      <c r="A698" s="6" t="s">
        <v>2594</v>
      </c>
      <c r="B698" s="7">
        <v>45109</v>
      </c>
      <c r="C698" s="6" t="s">
        <v>2595</v>
      </c>
      <c r="D698" s="6" t="s">
        <v>41</v>
      </c>
      <c r="E698">
        <v>4</v>
      </c>
      <c r="F698">
        <v>151.19999999999999</v>
      </c>
      <c r="G698" s="6" t="s">
        <v>2596</v>
      </c>
      <c r="H698" s="6" t="s">
        <v>60</v>
      </c>
      <c r="I698" s="6" t="s">
        <v>89</v>
      </c>
      <c r="J698" s="6" t="s">
        <v>2597</v>
      </c>
      <c r="K698">
        <v>9</v>
      </c>
      <c r="L698" s="6" t="s">
        <v>81</v>
      </c>
      <c r="M698" s="6" t="s">
        <v>45</v>
      </c>
      <c r="N698">
        <v>604.79999999999995</v>
      </c>
    </row>
    <row r="699" spans="1:14" x14ac:dyDescent="0.35">
      <c r="A699" s="6" t="s">
        <v>2598</v>
      </c>
      <c r="B699" s="7">
        <v>45692</v>
      </c>
      <c r="C699" s="6" t="s">
        <v>2599</v>
      </c>
      <c r="D699" s="6" t="s">
        <v>48</v>
      </c>
      <c r="E699">
        <v>5</v>
      </c>
      <c r="F699">
        <v>94.85</v>
      </c>
      <c r="G699" s="6" t="s">
        <v>2294</v>
      </c>
      <c r="H699" s="6" t="s">
        <v>65</v>
      </c>
      <c r="I699" s="6" t="s">
        <v>19</v>
      </c>
      <c r="J699" s="6" t="s">
        <v>2600</v>
      </c>
      <c r="K699">
        <v>6</v>
      </c>
      <c r="L699" s="6" t="s">
        <v>81</v>
      </c>
      <c r="M699" s="6" t="s">
        <v>38</v>
      </c>
      <c r="N699">
        <v>474.25</v>
      </c>
    </row>
    <row r="700" spans="1:14" x14ac:dyDescent="0.35">
      <c r="A700" s="6" t="s">
        <v>2601</v>
      </c>
      <c r="B700" s="7">
        <v>44930</v>
      </c>
      <c r="C700" s="6" t="s">
        <v>2602</v>
      </c>
      <c r="D700" s="6" t="s">
        <v>58</v>
      </c>
      <c r="E700">
        <v>2</v>
      </c>
      <c r="F700">
        <v>388.22</v>
      </c>
      <c r="G700" s="6" t="s">
        <v>1923</v>
      </c>
      <c r="H700" s="6" t="s">
        <v>65</v>
      </c>
      <c r="I700" s="6" t="s">
        <v>50</v>
      </c>
      <c r="J700" s="6" t="s">
        <v>2603</v>
      </c>
      <c r="K700">
        <v>2</v>
      </c>
      <c r="L700" s="6" t="s">
        <v>81</v>
      </c>
      <c r="M700" s="6" t="s">
        <v>22</v>
      </c>
      <c r="N700">
        <v>776.44</v>
      </c>
    </row>
    <row r="701" spans="1:14" x14ac:dyDescent="0.35">
      <c r="A701" s="6" t="s">
        <v>2604</v>
      </c>
      <c r="B701" s="7">
        <v>45243</v>
      </c>
      <c r="C701" s="6" t="s">
        <v>2605</v>
      </c>
      <c r="D701" s="6" t="s">
        <v>58</v>
      </c>
      <c r="E701">
        <v>3</v>
      </c>
      <c r="F701">
        <v>614.15</v>
      </c>
      <c r="G701" s="6" t="s">
        <v>2606</v>
      </c>
      <c r="H701" s="6" t="s">
        <v>60</v>
      </c>
      <c r="I701" s="6" t="s">
        <v>35</v>
      </c>
      <c r="J701" s="6" t="s">
        <v>2607</v>
      </c>
      <c r="K701">
        <v>3</v>
      </c>
      <c r="L701" s="6" t="s">
        <v>4283</v>
      </c>
      <c r="M701" s="6" t="s">
        <v>45</v>
      </c>
      <c r="N701">
        <v>1842.45</v>
      </c>
    </row>
    <row r="702" spans="1:14" x14ac:dyDescent="0.35">
      <c r="A702" s="6" t="s">
        <v>2608</v>
      </c>
      <c r="B702" s="7">
        <v>45560</v>
      </c>
      <c r="C702" s="6" t="s">
        <v>2609</v>
      </c>
      <c r="D702" s="6" t="s">
        <v>58</v>
      </c>
      <c r="E702">
        <v>2</v>
      </c>
      <c r="F702">
        <v>92.91</v>
      </c>
      <c r="G702" s="6" t="s">
        <v>2610</v>
      </c>
      <c r="H702" s="6" t="s">
        <v>65</v>
      </c>
      <c r="I702" s="6" t="s">
        <v>43</v>
      </c>
      <c r="J702" s="6" t="s">
        <v>2611</v>
      </c>
      <c r="K702">
        <v>3</v>
      </c>
      <c r="L702" s="6" t="s">
        <v>81</v>
      </c>
      <c r="M702" s="6" t="s">
        <v>22</v>
      </c>
      <c r="N702">
        <v>185.82</v>
      </c>
    </row>
    <row r="703" spans="1:14" x14ac:dyDescent="0.35">
      <c r="A703" s="6" t="s">
        <v>2612</v>
      </c>
      <c r="B703" s="7">
        <v>45466</v>
      </c>
      <c r="C703" s="6" t="s">
        <v>2613</v>
      </c>
      <c r="D703" s="6" t="s">
        <v>16</v>
      </c>
      <c r="E703">
        <v>3</v>
      </c>
      <c r="F703">
        <v>92.22</v>
      </c>
      <c r="G703" s="6" t="s">
        <v>490</v>
      </c>
      <c r="H703" s="6" t="s">
        <v>34</v>
      </c>
      <c r="I703" s="6" t="s">
        <v>50</v>
      </c>
      <c r="J703" s="6" t="s">
        <v>2614</v>
      </c>
      <c r="K703">
        <v>5</v>
      </c>
      <c r="L703" s="6" t="s">
        <v>37</v>
      </c>
      <c r="M703" s="6" t="s">
        <v>38</v>
      </c>
      <c r="N703">
        <v>276.66000000000003</v>
      </c>
    </row>
    <row r="704" spans="1:14" x14ac:dyDescent="0.35">
      <c r="A704" s="6" t="s">
        <v>2615</v>
      </c>
      <c r="B704" s="7">
        <v>45452</v>
      </c>
      <c r="C704" s="6" t="s">
        <v>2616</v>
      </c>
      <c r="D704" s="6" t="s">
        <v>48</v>
      </c>
      <c r="E704">
        <v>3</v>
      </c>
      <c r="F704">
        <v>562.54999999999995</v>
      </c>
      <c r="G704" s="6" t="s">
        <v>2311</v>
      </c>
      <c r="H704" s="6" t="s">
        <v>18</v>
      </c>
      <c r="I704" s="6" t="s">
        <v>43</v>
      </c>
      <c r="J704" s="6" t="s">
        <v>2617</v>
      </c>
      <c r="K704">
        <v>6</v>
      </c>
      <c r="L704" s="6" t="s">
        <v>4283</v>
      </c>
      <c r="M704" s="6" t="s">
        <v>38</v>
      </c>
      <c r="N704">
        <v>1687.65</v>
      </c>
    </row>
    <row r="705" spans="1:14" x14ac:dyDescent="0.35">
      <c r="A705" s="6" t="s">
        <v>2618</v>
      </c>
      <c r="B705" s="7">
        <v>45007</v>
      </c>
      <c r="C705" s="6" t="s">
        <v>2619</v>
      </c>
      <c r="D705" s="6" t="s">
        <v>73</v>
      </c>
      <c r="E705">
        <v>1</v>
      </c>
      <c r="F705">
        <v>92.79</v>
      </c>
      <c r="G705" s="6" t="s">
        <v>2620</v>
      </c>
      <c r="H705" s="6" t="s">
        <v>65</v>
      </c>
      <c r="I705" s="6" t="s">
        <v>89</v>
      </c>
      <c r="J705" s="6" t="s">
        <v>2621</v>
      </c>
      <c r="K705">
        <v>3</v>
      </c>
      <c r="L705" s="6" t="s">
        <v>81</v>
      </c>
      <c r="M705" s="6" t="s">
        <v>38</v>
      </c>
      <c r="N705">
        <v>92.79</v>
      </c>
    </row>
    <row r="706" spans="1:14" x14ac:dyDescent="0.35">
      <c r="A706" s="6" t="s">
        <v>2622</v>
      </c>
      <c r="B706" s="7">
        <v>45080</v>
      </c>
      <c r="C706" s="6" t="s">
        <v>2623</v>
      </c>
      <c r="D706" s="6" t="s">
        <v>73</v>
      </c>
      <c r="E706">
        <v>4</v>
      </c>
      <c r="F706">
        <v>30.27</v>
      </c>
      <c r="G706" s="6" t="s">
        <v>663</v>
      </c>
      <c r="H706" s="6" t="s">
        <v>27</v>
      </c>
      <c r="I706" s="6" t="s">
        <v>50</v>
      </c>
      <c r="J706" s="6" t="s">
        <v>2624</v>
      </c>
      <c r="K706">
        <v>9</v>
      </c>
      <c r="L706" s="6" t="s">
        <v>37</v>
      </c>
      <c r="M706" s="6" t="s">
        <v>76</v>
      </c>
      <c r="N706">
        <v>121.08</v>
      </c>
    </row>
    <row r="707" spans="1:14" x14ac:dyDescent="0.35">
      <c r="A707" s="6" t="s">
        <v>2625</v>
      </c>
      <c r="B707" s="7">
        <v>45746</v>
      </c>
      <c r="C707" s="6" t="s">
        <v>2626</v>
      </c>
      <c r="D707" s="6" t="s">
        <v>16</v>
      </c>
      <c r="E707">
        <v>2</v>
      </c>
      <c r="F707">
        <v>49.08</v>
      </c>
      <c r="G707" s="6" t="s">
        <v>2627</v>
      </c>
      <c r="H707" s="6" t="s">
        <v>18</v>
      </c>
      <c r="I707" s="6" t="s">
        <v>43</v>
      </c>
      <c r="J707" s="6" t="s">
        <v>2628</v>
      </c>
      <c r="K707">
        <v>7</v>
      </c>
      <c r="L707" s="6" t="s">
        <v>37</v>
      </c>
      <c r="M707" s="6" t="s">
        <v>22</v>
      </c>
      <c r="N707">
        <v>98.16</v>
      </c>
    </row>
    <row r="708" spans="1:14" x14ac:dyDescent="0.35">
      <c r="A708" s="6" t="s">
        <v>2629</v>
      </c>
      <c r="B708" s="7">
        <v>45718</v>
      </c>
      <c r="C708" s="6" t="s">
        <v>2630</v>
      </c>
      <c r="D708" s="6" t="s">
        <v>73</v>
      </c>
      <c r="E708">
        <v>5</v>
      </c>
      <c r="F708">
        <v>228.09</v>
      </c>
      <c r="G708" s="6" t="s">
        <v>1470</v>
      </c>
      <c r="H708" s="6" t="s">
        <v>60</v>
      </c>
      <c r="I708" s="6" t="s">
        <v>43</v>
      </c>
      <c r="J708" s="6" t="s">
        <v>2631</v>
      </c>
      <c r="K708">
        <v>9</v>
      </c>
      <c r="L708" s="6" t="s">
        <v>37</v>
      </c>
      <c r="M708" s="6" t="s">
        <v>45</v>
      </c>
      <c r="N708">
        <v>1140.45</v>
      </c>
    </row>
    <row r="709" spans="1:14" x14ac:dyDescent="0.35">
      <c r="A709" s="6" t="s">
        <v>2632</v>
      </c>
      <c r="B709" s="7">
        <v>45597</v>
      </c>
      <c r="C709" s="6" t="s">
        <v>2633</v>
      </c>
      <c r="D709" s="6" t="s">
        <v>41</v>
      </c>
      <c r="E709">
        <v>4</v>
      </c>
      <c r="F709">
        <v>650.04</v>
      </c>
      <c r="G709" s="6" t="s">
        <v>367</v>
      </c>
      <c r="H709" s="6" t="s">
        <v>60</v>
      </c>
      <c r="I709" s="6" t="s">
        <v>35</v>
      </c>
      <c r="J709" s="6" t="s">
        <v>2634</v>
      </c>
      <c r="K709">
        <v>6</v>
      </c>
      <c r="L709" s="6" t="s">
        <v>21</v>
      </c>
      <c r="M709" s="6" t="s">
        <v>45</v>
      </c>
      <c r="N709">
        <v>2600.16</v>
      </c>
    </row>
    <row r="710" spans="1:14" x14ac:dyDescent="0.35">
      <c r="A710" s="6" t="s">
        <v>2635</v>
      </c>
      <c r="B710" s="7">
        <v>45720</v>
      </c>
      <c r="C710" s="6" t="s">
        <v>2636</v>
      </c>
      <c r="D710" s="6" t="s">
        <v>48</v>
      </c>
      <c r="E710">
        <v>1</v>
      </c>
      <c r="F710">
        <v>665.11</v>
      </c>
      <c r="G710" s="6" t="s">
        <v>2294</v>
      </c>
      <c r="H710" s="6" t="s">
        <v>65</v>
      </c>
      <c r="I710" s="6" t="s">
        <v>89</v>
      </c>
      <c r="J710" s="6" t="s">
        <v>2637</v>
      </c>
      <c r="K710">
        <v>3</v>
      </c>
      <c r="L710" s="6" t="s">
        <v>37</v>
      </c>
      <c r="M710" s="6" t="s">
        <v>22</v>
      </c>
      <c r="N710">
        <v>665.11</v>
      </c>
    </row>
    <row r="711" spans="1:14" x14ac:dyDescent="0.35">
      <c r="A711" s="6" t="s">
        <v>2638</v>
      </c>
      <c r="B711" s="7">
        <v>45633</v>
      </c>
      <c r="C711" s="6" t="s">
        <v>2639</v>
      </c>
      <c r="D711" s="6" t="s">
        <v>73</v>
      </c>
      <c r="E711">
        <v>1</v>
      </c>
      <c r="F711">
        <v>386.03</v>
      </c>
      <c r="G711" s="6" t="s">
        <v>2640</v>
      </c>
      <c r="H711" s="6" t="s">
        <v>27</v>
      </c>
      <c r="I711" s="6" t="s">
        <v>89</v>
      </c>
      <c r="J711" s="6" t="s">
        <v>2641</v>
      </c>
      <c r="K711">
        <v>4</v>
      </c>
      <c r="L711" s="6" t="s">
        <v>37</v>
      </c>
      <c r="M711" s="6" t="s">
        <v>76</v>
      </c>
      <c r="N711">
        <v>386.03</v>
      </c>
    </row>
    <row r="712" spans="1:14" x14ac:dyDescent="0.35">
      <c r="A712" s="6" t="s">
        <v>2642</v>
      </c>
      <c r="B712" s="7">
        <v>45495</v>
      </c>
      <c r="C712" s="6" t="s">
        <v>2643</v>
      </c>
      <c r="D712" s="6" t="s">
        <v>58</v>
      </c>
      <c r="E712">
        <v>5</v>
      </c>
      <c r="F712">
        <v>21.54</v>
      </c>
      <c r="G712" s="6" t="s">
        <v>2644</v>
      </c>
      <c r="H712" s="6" t="s">
        <v>60</v>
      </c>
      <c r="I712" s="6" t="s">
        <v>43</v>
      </c>
      <c r="J712" s="6" t="s">
        <v>2645</v>
      </c>
      <c r="K712">
        <v>10</v>
      </c>
      <c r="L712" s="6" t="s">
        <v>4283</v>
      </c>
      <c r="M712" s="6" t="s">
        <v>76</v>
      </c>
      <c r="N712">
        <v>107.7</v>
      </c>
    </row>
    <row r="713" spans="1:14" x14ac:dyDescent="0.35">
      <c r="A713" s="6" t="s">
        <v>2646</v>
      </c>
      <c r="B713" s="7">
        <v>45477</v>
      </c>
      <c r="C713" s="6" t="s">
        <v>2647</v>
      </c>
      <c r="D713" s="6" t="s">
        <v>32</v>
      </c>
      <c r="E713">
        <v>2</v>
      </c>
      <c r="F713">
        <v>475.78</v>
      </c>
      <c r="G713" s="6" t="s">
        <v>2648</v>
      </c>
      <c r="H713" s="6" t="s">
        <v>27</v>
      </c>
      <c r="I713" s="6" t="s">
        <v>19</v>
      </c>
      <c r="J713" s="6" t="s">
        <v>2649</v>
      </c>
      <c r="K713">
        <v>2</v>
      </c>
      <c r="L713" s="6" t="s">
        <v>81</v>
      </c>
      <c r="M713" s="6" t="s">
        <v>76</v>
      </c>
      <c r="N713">
        <v>951.56</v>
      </c>
    </row>
    <row r="714" spans="1:14" x14ac:dyDescent="0.35">
      <c r="A714" s="6" t="s">
        <v>2650</v>
      </c>
      <c r="B714" s="7">
        <v>45300</v>
      </c>
      <c r="C714" s="6" t="s">
        <v>2119</v>
      </c>
      <c r="D714" s="6" t="s">
        <v>32</v>
      </c>
      <c r="E714">
        <v>2</v>
      </c>
      <c r="F714">
        <v>68.400000000000006</v>
      </c>
      <c r="G714" s="6" t="s">
        <v>2651</v>
      </c>
      <c r="H714" s="6" t="s">
        <v>60</v>
      </c>
      <c r="I714" s="6" t="s">
        <v>89</v>
      </c>
      <c r="J714" s="6" t="s">
        <v>2652</v>
      </c>
      <c r="K714">
        <v>7</v>
      </c>
      <c r="L714" s="6" t="s">
        <v>37</v>
      </c>
      <c r="M714" s="6" t="s">
        <v>38</v>
      </c>
      <c r="N714">
        <v>136.80000000000001</v>
      </c>
    </row>
    <row r="715" spans="1:14" x14ac:dyDescent="0.35">
      <c r="A715" s="6" t="s">
        <v>2653</v>
      </c>
      <c r="B715" s="7">
        <v>45829</v>
      </c>
      <c r="C715" s="6" t="s">
        <v>2654</v>
      </c>
      <c r="D715" s="6" t="s">
        <v>32</v>
      </c>
      <c r="E715">
        <v>4</v>
      </c>
      <c r="F715">
        <v>532.49</v>
      </c>
      <c r="G715" s="6" t="s">
        <v>2557</v>
      </c>
      <c r="H715" s="6" t="s">
        <v>27</v>
      </c>
      <c r="I715" s="6" t="s">
        <v>35</v>
      </c>
      <c r="J715" s="6" t="s">
        <v>2655</v>
      </c>
      <c r="K715">
        <v>6</v>
      </c>
      <c r="L715" s="6" t="s">
        <v>21</v>
      </c>
      <c r="M715" s="6" t="s">
        <v>45</v>
      </c>
      <c r="N715">
        <v>2129.96</v>
      </c>
    </row>
    <row r="716" spans="1:14" x14ac:dyDescent="0.35">
      <c r="A716" s="6" t="s">
        <v>2656</v>
      </c>
      <c r="B716" s="7">
        <v>45037</v>
      </c>
      <c r="C716" s="6" t="s">
        <v>2657</v>
      </c>
      <c r="D716" s="6" t="s">
        <v>58</v>
      </c>
      <c r="E716">
        <v>1</v>
      </c>
      <c r="F716">
        <v>51.73</v>
      </c>
      <c r="G716" s="6" t="s">
        <v>1176</v>
      </c>
      <c r="H716" s="6" t="s">
        <v>18</v>
      </c>
      <c r="I716" s="6" t="s">
        <v>89</v>
      </c>
      <c r="J716" s="6" t="s">
        <v>2658</v>
      </c>
      <c r="K716">
        <v>1</v>
      </c>
      <c r="L716" s="6" t="s">
        <v>37</v>
      </c>
      <c r="M716" s="6" t="s">
        <v>45</v>
      </c>
      <c r="N716">
        <v>51.73</v>
      </c>
    </row>
    <row r="717" spans="1:14" x14ac:dyDescent="0.35">
      <c r="A717" s="6" t="s">
        <v>2659</v>
      </c>
      <c r="B717" s="7">
        <v>45499</v>
      </c>
      <c r="C717" s="6" t="s">
        <v>2660</v>
      </c>
      <c r="D717" s="6" t="s">
        <v>48</v>
      </c>
      <c r="E717">
        <v>3</v>
      </c>
      <c r="F717">
        <v>653.63</v>
      </c>
      <c r="G717" s="6" t="s">
        <v>2661</v>
      </c>
      <c r="H717" s="6" t="s">
        <v>27</v>
      </c>
      <c r="I717" s="6" t="s">
        <v>50</v>
      </c>
      <c r="J717" s="6" t="s">
        <v>2662</v>
      </c>
      <c r="K717">
        <v>7</v>
      </c>
      <c r="L717" s="6" t="s">
        <v>37</v>
      </c>
      <c r="M717" s="6" t="s">
        <v>38</v>
      </c>
      <c r="N717">
        <v>1960.89</v>
      </c>
    </row>
    <row r="718" spans="1:14" x14ac:dyDescent="0.35">
      <c r="A718" s="6" t="s">
        <v>2663</v>
      </c>
      <c r="B718" s="7">
        <v>45456</v>
      </c>
      <c r="C718" s="6" t="s">
        <v>2664</v>
      </c>
      <c r="D718" s="6" t="s">
        <v>41</v>
      </c>
      <c r="E718">
        <v>3</v>
      </c>
      <c r="F718">
        <v>454.29</v>
      </c>
      <c r="G718" s="6" t="s">
        <v>113</v>
      </c>
      <c r="H718" s="6" t="s">
        <v>34</v>
      </c>
      <c r="I718" s="6" t="s">
        <v>89</v>
      </c>
      <c r="J718" s="6" t="s">
        <v>2665</v>
      </c>
      <c r="K718">
        <v>4</v>
      </c>
      <c r="L718" s="6" t="s">
        <v>81</v>
      </c>
      <c r="M718" s="6" t="s">
        <v>76</v>
      </c>
      <c r="N718">
        <v>1362.87</v>
      </c>
    </row>
    <row r="719" spans="1:14" x14ac:dyDescent="0.35">
      <c r="A719" s="6" t="s">
        <v>2666</v>
      </c>
      <c r="B719" s="7">
        <v>45215</v>
      </c>
      <c r="C719" s="6" t="s">
        <v>2667</v>
      </c>
      <c r="D719" s="6" t="s">
        <v>41</v>
      </c>
      <c r="E719">
        <v>3</v>
      </c>
      <c r="F719">
        <v>122.11</v>
      </c>
      <c r="G719" s="6" t="s">
        <v>2668</v>
      </c>
      <c r="H719" s="6" t="s">
        <v>27</v>
      </c>
      <c r="I719" s="6" t="s">
        <v>50</v>
      </c>
      <c r="J719" s="6" t="s">
        <v>2669</v>
      </c>
      <c r="K719">
        <v>4</v>
      </c>
      <c r="L719" s="6" t="s">
        <v>81</v>
      </c>
      <c r="M719" s="6" t="s">
        <v>38</v>
      </c>
      <c r="N719">
        <v>366.33</v>
      </c>
    </row>
    <row r="720" spans="1:14" x14ac:dyDescent="0.35">
      <c r="A720" s="6" t="s">
        <v>2670</v>
      </c>
      <c r="B720" s="7">
        <v>45024</v>
      </c>
      <c r="C720" s="6" t="s">
        <v>2671</v>
      </c>
      <c r="D720" s="6" t="s">
        <v>58</v>
      </c>
      <c r="E720">
        <v>4</v>
      </c>
      <c r="F720">
        <v>64.739999999999995</v>
      </c>
      <c r="G720" s="6" t="s">
        <v>2672</v>
      </c>
      <c r="H720" s="6" t="s">
        <v>60</v>
      </c>
      <c r="I720" s="6" t="s">
        <v>35</v>
      </c>
      <c r="J720" s="6" t="s">
        <v>2673</v>
      </c>
      <c r="K720">
        <v>8</v>
      </c>
      <c r="L720" s="6" t="s">
        <v>21</v>
      </c>
      <c r="M720" s="6" t="s">
        <v>76</v>
      </c>
      <c r="N720">
        <v>258.95999999999998</v>
      </c>
    </row>
    <row r="721" spans="1:14" x14ac:dyDescent="0.35">
      <c r="A721" s="6" t="s">
        <v>2674</v>
      </c>
      <c r="B721" s="7">
        <v>45312</v>
      </c>
      <c r="C721" s="6" t="s">
        <v>2675</v>
      </c>
      <c r="D721" s="6" t="s">
        <v>58</v>
      </c>
      <c r="E721">
        <v>2</v>
      </c>
      <c r="F721">
        <v>681.06</v>
      </c>
      <c r="G721" s="6" t="s">
        <v>2676</v>
      </c>
      <c r="H721" s="6" t="s">
        <v>18</v>
      </c>
      <c r="I721" s="6" t="s">
        <v>19</v>
      </c>
      <c r="J721" s="6" t="s">
        <v>2677</v>
      </c>
      <c r="K721">
        <v>3</v>
      </c>
      <c r="L721" s="6" t="s">
        <v>37</v>
      </c>
      <c r="M721" s="6" t="s">
        <v>45</v>
      </c>
      <c r="N721">
        <v>1362.12</v>
      </c>
    </row>
    <row r="722" spans="1:14" x14ac:dyDescent="0.35">
      <c r="A722" s="6" t="s">
        <v>2678</v>
      </c>
      <c r="B722" s="7">
        <v>45190</v>
      </c>
      <c r="C722" s="6" t="s">
        <v>2679</v>
      </c>
      <c r="D722" s="6" t="s">
        <v>73</v>
      </c>
      <c r="E722">
        <v>5</v>
      </c>
      <c r="F722">
        <v>128.94999999999999</v>
      </c>
      <c r="G722" s="6" t="s">
        <v>2680</v>
      </c>
      <c r="H722" s="6" t="s">
        <v>65</v>
      </c>
      <c r="I722" s="6" t="s">
        <v>89</v>
      </c>
      <c r="J722" s="6" t="s">
        <v>2681</v>
      </c>
      <c r="K722">
        <v>10</v>
      </c>
      <c r="L722" s="6" t="s">
        <v>37</v>
      </c>
      <c r="M722" s="6" t="s">
        <v>22</v>
      </c>
      <c r="N722">
        <v>644.75</v>
      </c>
    </row>
    <row r="723" spans="1:14" x14ac:dyDescent="0.35">
      <c r="A723" s="6" t="s">
        <v>2682</v>
      </c>
      <c r="B723" s="7">
        <v>45369</v>
      </c>
      <c r="C723" s="6" t="s">
        <v>2683</v>
      </c>
      <c r="D723" s="6" t="s">
        <v>73</v>
      </c>
      <c r="E723">
        <v>2</v>
      </c>
      <c r="F723">
        <v>118.59</v>
      </c>
      <c r="G723" s="6" t="s">
        <v>2684</v>
      </c>
      <c r="H723" s="6" t="s">
        <v>34</v>
      </c>
      <c r="I723" s="6" t="s">
        <v>50</v>
      </c>
      <c r="J723" s="6" t="s">
        <v>2685</v>
      </c>
      <c r="K723">
        <v>2</v>
      </c>
      <c r="L723" s="6" t="s">
        <v>4283</v>
      </c>
      <c r="M723" s="6" t="s">
        <v>38</v>
      </c>
      <c r="N723">
        <v>237.18</v>
      </c>
    </row>
    <row r="724" spans="1:14" x14ac:dyDescent="0.35">
      <c r="A724" s="6" t="s">
        <v>2686</v>
      </c>
      <c r="B724" s="7">
        <v>45611</v>
      </c>
      <c r="C724" s="6" t="s">
        <v>2687</v>
      </c>
      <c r="D724" s="6" t="s">
        <v>48</v>
      </c>
      <c r="E724">
        <v>1</v>
      </c>
      <c r="F724">
        <v>95.1</v>
      </c>
      <c r="G724" s="6" t="s">
        <v>1137</v>
      </c>
      <c r="H724" s="6" t="s">
        <v>60</v>
      </c>
      <c r="I724" s="6" t="s">
        <v>89</v>
      </c>
      <c r="J724" s="6" t="s">
        <v>2688</v>
      </c>
      <c r="K724">
        <v>1</v>
      </c>
      <c r="L724" s="6" t="s">
        <v>81</v>
      </c>
      <c r="M724" s="6" t="s">
        <v>22</v>
      </c>
      <c r="N724">
        <v>95.1</v>
      </c>
    </row>
    <row r="725" spans="1:14" x14ac:dyDescent="0.35">
      <c r="A725" s="6" t="s">
        <v>2689</v>
      </c>
      <c r="B725" s="7">
        <v>45269</v>
      </c>
      <c r="C725" s="6" t="s">
        <v>2690</v>
      </c>
      <c r="D725" s="6" t="s">
        <v>73</v>
      </c>
      <c r="E725">
        <v>3</v>
      </c>
      <c r="F725">
        <v>54.95</v>
      </c>
      <c r="G725" s="6" t="s">
        <v>297</v>
      </c>
      <c r="H725" s="6" t="s">
        <v>65</v>
      </c>
      <c r="I725" s="6" t="s">
        <v>43</v>
      </c>
      <c r="J725" s="6" t="s">
        <v>2691</v>
      </c>
      <c r="K725">
        <v>8</v>
      </c>
      <c r="L725" s="6" t="s">
        <v>21</v>
      </c>
      <c r="M725" s="6" t="s">
        <v>29</v>
      </c>
      <c r="N725">
        <v>164.85</v>
      </c>
    </row>
    <row r="726" spans="1:14" x14ac:dyDescent="0.35">
      <c r="A726" s="6" t="s">
        <v>2692</v>
      </c>
      <c r="B726" s="7">
        <v>45583</v>
      </c>
      <c r="C726" s="6" t="s">
        <v>2693</v>
      </c>
      <c r="D726" s="6" t="s">
        <v>48</v>
      </c>
      <c r="E726">
        <v>3</v>
      </c>
      <c r="F726">
        <v>136.97</v>
      </c>
      <c r="G726" s="6" t="s">
        <v>1210</v>
      </c>
      <c r="H726" s="6" t="s">
        <v>34</v>
      </c>
      <c r="I726" s="6" t="s">
        <v>43</v>
      </c>
      <c r="J726" s="6" t="s">
        <v>2694</v>
      </c>
      <c r="K726">
        <v>4</v>
      </c>
      <c r="L726" s="6" t="s">
        <v>37</v>
      </c>
      <c r="M726" s="6" t="s">
        <v>29</v>
      </c>
      <c r="N726">
        <v>410.91</v>
      </c>
    </row>
    <row r="727" spans="1:14" x14ac:dyDescent="0.35">
      <c r="A727" s="6" t="s">
        <v>2695</v>
      </c>
      <c r="B727" s="7">
        <v>44997</v>
      </c>
      <c r="C727" s="6" t="s">
        <v>2696</v>
      </c>
      <c r="D727" s="6" t="s">
        <v>41</v>
      </c>
      <c r="E727">
        <v>2</v>
      </c>
      <c r="F727">
        <v>194.85</v>
      </c>
      <c r="G727" s="6" t="s">
        <v>1897</v>
      </c>
      <c r="H727" s="6" t="s">
        <v>60</v>
      </c>
      <c r="I727" s="6" t="s">
        <v>43</v>
      </c>
      <c r="J727" s="6" t="s">
        <v>2697</v>
      </c>
      <c r="K727">
        <v>5</v>
      </c>
      <c r="L727" s="6" t="s">
        <v>4283</v>
      </c>
      <c r="M727" s="6" t="s">
        <v>29</v>
      </c>
      <c r="N727">
        <v>389.7</v>
      </c>
    </row>
    <row r="728" spans="1:14" x14ac:dyDescent="0.35">
      <c r="A728" s="6" t="s">
        <v>2698</v>
      </c>
      <c r="B728" s="7">
        <v>45590</v>
      </c>
      <c r="C728" s="6" t="s">
        <v>2699</v>
      </c>
      <c r="D728" s="6" t="s">
        <v>58</v>
      </c>
      <c r="E728">
        <v>4</v>
      </c>
      <c r="F728">
        <v>583.02</v>
      </c>
      <c r="G728" s="6" t="s">
        <v>2700</v>
      </c>
      <c r="H728" s="6" t="s">
        <v>27</v>
      </c>
      <c r="I728" s="6" t="s">
        <v>50</v>
      </c>
      <c r="J728" s="6" t="s">
        <v>2701</v>
      </c>
      <c r="K728">
        <v>4</v>
      </c>
      <c r="L728" s="6" t="s">
        <v>37</v>
      </c>
      <c r="M728" s="6" t="s">
        <v>45</v>
      </c>
      <c r="N728">
        <v>2332.08</v>
      </c>
    </row>
    <row r="729" spans="1:14" x14ac:dyDescent="0.35">
      <c r="A729" s="6" t="s">
        <v>2702</v>
      </c>
      <c r="B729" s="7">
        <v>45564</v>
      </c>
      <c r="C729" s="6" t="s">
        <v>2703</v>
      </c>
      <c r="D729" s="6" t="s">
        <v>41</v>
      </c>
      <c r="E729">
        <v>5</v>
      </c>
      <c r="F729">
        <v>95.75</v>
      </c>
      <c r="G729" s="6" t="s">
        <v>1660</v>
      </c>
      <c r="H729" s="6" t="s">
        <v>27</v>
      </c>
      <c r="I729" s="6" t="s">
        <v>19</v>
      </c>
      <c r="J729" s="6" t="s">
        <v>2704</v>
      </c>
      <c r="K729">
        <v>8</v>
      </c>
      <c r="L729" s="6" t="s">
        <v>21</v>
      </c>
      <c r="M729" s="6" t="s">
        <v>22</v>
      </c>
      <c r="N729">
        <v>478.75</v>
      </c>
    </row>
    <row r="730" spans="1:14" x14ac:dyDescent="0.35">
      <c r="A730" s="6" t="s">
        <v>2705</v>
      </c>
      <c r="B730" s="7">
        <v>45502</v>
      </c>
      <c r="C730" s="6" t="s">
        <v>2706</v>
      </c>
      <c r="D730" s="6" t="s">
        <v>73</v>
      </c>
      <c r="E730">
        <v>4</v>
      </c>
      <c r="F730">
        <v>325.76</v>
      </c>
      <c r="G730" s="6" t="s">
        <v>2707</v>
      </c>
      <c r="H730" s="6" t="s">
        <v>60</v>
      </c>
      <c r="I730" s="6" t="s">
        <v>19</v>
      </c>
      <c r="J730" s="6" t="s">
        <v>2708</v>
      </c>
      <c r="K730">
        <v>8</v>
      </c>
      <c r="L730" s="6" t="s">
        <v>81</v>
      </c>
      <c r="M730" s="6" t="s">
        <v>38</v>
      </c>
      <c r="N730">
        <v>1303.04</v>
      </c>
    </row>
    <row r="731" spans="1:14" x14ac:dyDescent="0.35">
      <c r="A731" s="6" t="s">
        <v>2709</v>
      </c>
      <c r="B731" s="7">
        <v>45177</v>
      </c>
      <c r="C731" s="6" t="s">
        <v>2710</v>
      </c>
      <c r="D731" s="6" t="s">
        <v>25</v>
      </c>
      <c r="E731">
        <v>4</v>
      </c>
      <c r="F731">
        <v>186.41</v>
      </c>
      <c r="G731" s="6" t="s">
        <v>663</v>
      </c>
      <c r="H731" s="6" t="s">
        <v>60</v>
      </c>
      <c r="I731" s="6" t="s">
        <v>89</v>
      </c>
      <c r="J731" s="6" t="s">
        <v>2711</v>
      </c>
      <c r="K731">
        <v>6</v>
      </c>
      <c r="L731" s="6" t="s">
        <v>21</v>
      </c>
      <c r="M731" s="6" t="s">
        <v>76</v>
      </c>
      <c r="N731">
        <v>745.64</v>
      </c>
    </row>
    <row r="732" spans="1:14" x14ac:dyDescent="0.35">
      <c r="A732" s="6" t="s">
        <v>2712</v>
      </c>
      <c r="B732" s="7">
        <v>45710</v>
      </c>
      <c r="C732" s="6" t="s">
        <v>2713</v>
      </c>
      <c r="D732" s="6" t="s">
        <v>25</v>
      </c>
      <c r="E732">
        <v>1</v>
      </c>
      <c r="F732">
        <v>474.6</v>
      </c>
      <c r="G732" s="6" t="s">
        <v>972</v>
      </c>
      <c r="H732" s="6" t="s">
        <v>18</v>
      </c>
      <c r="I732" s="6" t="s">
        <v>50</v>
      </c>
      <c r="J732" s="6" t="s">
        <v>2714</v>
      </c>
      <c r="K732">
        <v>4</v>
      </c>
      <c r="L732" s="6" t="s">
        <v>21</v>
      </c>
      <c r="M732" s="6" t="s">
        <v>38</v>
      </c>
      <c r="N732">
        <v>474.6</v>
      </c>
    </row>
    <row r="733" spans="1:14" x14ac:dyDescent="0.35">
      <c r="A733" s="6" t="s">
        <v>2715</v>
      </c>
      <c r="B733" s="7">
        <v>45450</v>
      </c>
      <c r="C733" s="6" t="s">
        <v>2716</v>
      </c>
      <c r="D733" s="6" t="s">
        <v>48</v>
      </c>
      <c r="E733">
        <v>5</v>
      </c>
      <c r="F733">
        <v>584.46</v>
      </c>
      <c r="G733" s="6" t="s">
        <v>2717</v>
      </c>
      <c r="H733" s="6" t="s">
        <v>34</v>
      </c>
      <c r="I733" s="6" t="s">
        <v>43</v>
      </c>
      <c r="J733" s="6" t="s">
        <v>2718</v>
      </c>
      <c r="K733">
        <v>8</v>
      </c>
      <c r="L733" s="6" t="s">
        <v>4283</v>
      </c>
      <c r="M733" s="6" t="s">
        <v>38</v>
      </c>
      <c r="N733">
        <v>2922.3</v>
      </c>
    </row>
    <row r="734" spans="1:14" x14ac:dyDescent="0.35">
      <c r="A734" s="6" t="s">
        <v>2719</v>
      </c>
      <c r="B734" s="7">
        <v>45723</v>
      </c>
      <c r="C734" s="6" t="s">
        <v>2720</v>
      </c>
      <c r="D734" s="6" t="s">
        <v>58</v>
      </c>
      <c r="E734">
        <v>1</v>
      </c>
      <c r="F734">
        <v>132.05000000000001</v>
      </c>
      <c r="G734" s="6" t="s">
        <v>2572</v>
      </c>
      <c r="H734" s="6" t="s">
        <v>27</v>
      </c>
      <c r="I734" s="6" t="s">
        <v>50</v>
      </c>
      <c r="J734" s="6" t="s">
        <v>2721</v>
      </c>
      <c r="K734">
        <v>2</v>
      </c>
      <c r="L734" s="6" t="s">
        <v>4283</v>
      </c>
      <c r="M734" s="6" t="s">
        <v>76</v>
      </c>
      <c r="N734">
        <v>132.05000000000001</v>
      </c>
    </row>
    <row r="735" spans="1:14" x14ac:dyDescent="0.35">
      <c r="A735" s="6" t="s">
        <v>2722</v>
      </c>
      <c r="B735" s="7">
        <v>45264</v>
      </c>
      <c r="C735" s="6" t="s">
        <v>2723</v>
      </c>
      <c r="D735" s="6" t="s">
        <v>32</v>
      </c>
      <c r="E735">
        <v>4</v>
      </c>
      <c r="F735">
        <v>494.84</v>
      </c>
      <c r="G735" s="6" t="s">
        <v>2538</v>
      </c>
      <c r="H735" s="6" t="s">
        <v>65</v>
      </c>
      <c r="I735" s="6" t="s">
        <v>43</v>
      </c>
      <c r="J735" s="6" t="s">
        <v>2724</v>
      </c>
      <c r="K735">
        <v>8</v>
      </c>
      <c r="L735" s="6" t="s">
        <v>21</v>
      </c>
      <c r="M735" s="6" t="s">
        <v>38</v>
      </c>
      <c r="N735">
        <v>1979.36</v>
      </c>
    </row>
    <row r="736" spans="1:14" x14ac:dyDescent="0.35">
      <c r="A736" s="6" t="s">
        <v>2725</v>
      </c>
      <c r="B736" s="7">
        <v>45314</v>
      </c>
      <c r="C736" s="6" t="s">
        <v>2726</v>
      </c>
      <c r="D736" s="6" t="s">
        <v>48</v>
      </c>
      <c r="E736">
        <v>4</v>
      </c>
      <c r="F736">
        <v>224.61</v>
      </c>
      <c r="G736" s="6" t="s">
        <v>1147</v>
      </c>
      <c r="H736" s="6" t="s">
        <v>34</v>
      </c>
      <c r="I736" s="6" t="s">
        <v>43</v>
      </c>
      <c r="J736" s="6" t="s">
        <v>2727</v>
      </c>
      <c r="K736">
        <v>6</v>
      </c>
      <c r="L736" s="6" t="s">
        <v>81</v>
      </c>
      <c r="M736" s="6" t="s">
        <v>45</v>
      </c>
      <c r="N736">
        <v>898.44</v>
      </c>
    </row>
    <row r="737" spans="1:14" x14ac:dyDescent="0.35">
      <c r="A737" s="6" t="s">
        <v>2728</v>
      </c>
      <c r="B737" s="7">
        <v>45471</v>
      </c>
      <c r="C737" s="6" t="s">
        <v>2729</v>
      </c>
      <c r="D737" s="6" t="s">
        <v>16</v>
      </c>
      <c r="E737">
        <v>4</v>
      </c>
      <c r="F737">
        <v>44.07</v>
      </c>
      <c r="G737" s="6" t="s">
        <v>1542</v>
      </c>
      <c r="H737" s="6" t="s">
        <v>18</v>
      </c>
      <c r="I737" s="6" t="s">
        <v>89</v>
      </c>
      <c r="J737" s="6" t="s">
        <v>2730</v>
      </c>
      <c r="K737">
        <v>6</v>
      </c>
      <c r="L737" s="6" t="s">
        <v>4283</v>
      </c>
      <c r="M737" s="6" t="s">
        <v>38</v>
      </c>
      <c r="N737">
        <v>176.28</v>
      </c>
    </row>
    <row r="738" spans="1:14" x14ac:dyDescent="0.35">
      <c r="A738" s="6" t="s">
        <v>2731</v>
      </c>
      <c r="B738" s="7">
        <v>45331</v>
      </c>
      <c r="C738" s="6" t="s">
        <v>2732</v>
      </c>
      <c r="D738" s="6" t="s">
        <v>16</v>
      </c>
      <c r="E738">
        <v>5</v>
      </c>
      <c r="F738">
        <v>418.53</v>
      </c>
      <c r="G738" s="6" t="s">
        <v>1945</v>
      </c>
      <c r="H738" s="6" t="s">
        <v>34</v>
      </c>
      <c r="I738" s="6" t="s">
        <v>89</v>
      </c>
      <c r="J738" s="6" t="s">
        <v>2733</v>
      </c>
      <c r="K738">
        <v>6</v>
      </c>
      <c r="L738" s="6" t="s">
        <v>37</v>
      </c>
      <c r="M738" s="6" t="s">
        <v>76</v>
      </c>
      <c r="N738">
        <v>2092.65</v>
      </c>
    </row>
    <row r="739" spans="1:14" x14ac:dyDescent="0.35">
      <c r="A739" s="6" t="s">
        <v>2734</v>
      </c>
      <c r="B739" s="7">
        <v>45294</v>
      </c>
      <c r="C739" s="6" t="s">
        <v>2735</v>
      </c>
      <c r="D739" s="6" t="s">
        <v>25</v>
      </c>
      <c r="E739">
        <v>4</v>
      </c>
      <c r="F739">
        <v>532.87</v>
      </c>
      <c r="G739" s="6" t="s">
        <v>2736</v>
      </c>
      <c r="H739" s="6" t="s">
        <v>65</v>
      </c>
      <c r="I739" s="6" t="s">
        <v>89</v>
      </c>
      <c r="J739" s="6" t="s">
        <v>2737</v>
      </c>
      <c r="K739">
        <v>9</v>
      </c>
      <c r="L739" s="6" t="s">
        <v>37</v>
      </c>
      <c r="M739" s="6" t="s">
        <v>22</v>
      </c>
      <c r="N739">
        <v>2131.48</v>
      </c>
    </row>
    <row r="740" spans="1:14" x14ac:dyDescent="0.35">
      <c r="A740" s="6" t="s">
        <v>2738</v>
      </c>
      <c r="B740" s="7">
        <v>45812</v>
      </c>
      <c r="C740" s="6" t="s">
        <v>2739</v>
      </c>
      <c r="D740" s="6" t="s">
        <v>25</v>
      </c>
      <c r="E740">
        <v>2</v>
      </c>
      <c r="F740">
        <v>485.37</v>
      </c>
      <c r="G740" s="6" t="s">
        <v>2740</v>
      </c>
      <c r="H740" s="6" t="s">
        <v>34</v>
      </c>
      <c r="I740" s="6" t="s">
        <v>19</v>
      </c>
      <c r="J740" s="6" t="s">
        <v>2741</v>
      </c>
      <c r="K740">
        <v>5</v>
      </c>
      <c r="L740" s="6" t="s">
        <v>21</v>
      </c>
      <c r="M740" s="6" t="s">
        <v>38</v>
      </c>
      <c r="N740">
        <v>970.74</v>
      </c>
    </row>
    <row r="741" spans="1:14" x14ac:dyDescent="0.35">
      <c r="A741" s="6" t="s">
        <v>2742</v>
      </c>
      <c r="B741" s="7">
        <v>45456</v>
      </c>
      <c r="C741" s="6" t="s">
        <v>2743</v>
      </c>
      <c r="D741" s="6" t="s">
        <v>25</v>
      </c>
      <c r="E741">
        <v>4</v>
      </c>
      <c r="F741">
        <v>386.73</v>
      </c>
      <c r="G741" s="6" t="s">
        <v>553</v>
      </c>
      <c r="H741" s="6" t="s">
        <v>65</v>
      </c>
      <c r="I741" s="6" t="s">
        <v>50</v>
      </c>
      <c r="J741" s="6" t="s">
        <v>2744</v>
      </c>
      <c r="K741">
        <v>4</v>
      </c>
      <c r="L741" s="6" t="s">
        <v>21</v>
      </c>
      <c r="M741" s="6" t="s">
        <v>45</v>
      </c>
      <c r="N741">
        <v>1546.92</v>
      </c>
    </row>
    <row r="742" spans="1:14" x14ac:dyDescent="0.35">
      <c r="A742" s="6" t="s">
        <v>2745</v>
      </c>
      <c r="B742" s="7">
        <v>45493</v>
      </c>
      <c r="C742" s="6" t="s">
        <v>2746</v>
      </c>
      <c r="D742" s="6" t="s">
        <v>73</v>
      </c>
      <c r="E742">
        <v>2</v>
      </c>
      <c r="F742">
        <v>377.47</v>
      </c>
      <c r="G742" s="6" t="s">
        <v>1670</v>
      </c>
      <c r="H742" s="6" t="s">
        <v>65</v>
      </c>
      <c r="I742" s="6" t="s">
        <v>89</v>
      </c>
      <c r="J742" s="6" t="s">
        <v>2747</v>
      </c>
      <c r="K742">
        <v>7</v>
      </c>
      <c r="L742" s="6" t="s">
        <v>4283</v>
      </c>
      <c r="M742" s="6" t="s">
        <v>76</v>
      </c>
      <c r="N742">
        <v>754.94</v>
      </c>
    </row>
    <row r="743" spans="1:14" x14ac:dyDescent="0.35">
      <c r="A743" s="6" t="s">
        <v>2748</v>
      </c>
      <c r="B743" s="7">
        <v>45680</v>
      </c>
      <c r="C743" s="6" t="s">
        <v>2749</v>
      </c>
      <c r="D743" s="6" t="s">
        <v>16</v>
      </c>
      <c r="E743">
        <v>5</v>
      </c>
      <c r="F743">
        <v>332.64</v>
      </c>
      <c r="G743" s="6" t="s">
        <v>2750</v>
      </c>
      <c r="H743" s="6" t="s">
        <v>60</v>
      </c>
      <c r="I743" s="6" t="s">
        <v>50</v>
      </c>
      <c r="J743" s="6" t="s">
        <v>2751</v>
      </c>
      <c r="K743">
        <v>10</v>
      </c>
      <c r="L743" s="6" t="s">
        <v>4283</v>
      </c>
      <c r="M743" s="6" t="s">
        <v>29</v>
      </c>
      <c r="N743">
        <v>1663.2</v>
      </c>
    </row>
    <row r="744" spans="1:14" x14ac:dyDescent="0.35">
      <c r="A744" s="6" t="s">
        <v>2752</v>
      </c>
      <c r="B744" s="7">
        <v>45626</v>
      </c>
      <c r="C744" s="6" t="s">
        <v>2753</v>
      </c>
      <c r="D744" s="6" t="s">
        <v>58</v>
      </c>
      <c r="E744">
        <v>3</v>
      </c>
      <c r="F744">
        <v>699.93</v>
      </c>
      <c r="G744" s="6" t="s">
        <v>1198</v>
      </c>
      <c r="H744" s="6" t="s">
        <v>65</v>
      </c>
      <c r="I744" s="6" t="s">
        <v>43</v>
      </c>
      <c r="J744" s="6" t="s">
        <v>2754</v>
      </c>
      <c r="K744">
        <v>7</v>
      </c>
      <c r="L744" s="6" t="s">
        <v>21</v>
      </c>
      <c r="M744" s="6" t="s">
        <v>76</v>
      </c>
      <c r="N744">
        <v>2099.79</v>
      </c>
    </row>
    <row r="745" spans="1:14" x14ac:dyDescent="0.35">
      <c r="A745" s="6" t="s">
        <v>2755</v>
      </c>
      <c r="B745" s="7">
        <v>45565</v>
      </c>
      <c r="C745" s="6" t="s">
        <v>2756</v>
      </c>
      <c r="D745" s="6" t="s">
        <v>16</v>
      </c>
      <c r="E745">
        <v>1</v>
      </c>
      <c r="F745">
        <v>576.35</v>
      </c>
      <c r="G745" s="6" t="s">
        <v>193</v>
      </c>
      <c r="H745" s="6" t="s">
        <v>60</v>
      </c>
      <c r="I745" s="6" t="s">
        <v>43</v>
      </c>
      <c r="J745" s="6" t="s">
        <v>2757</v>
      </c>
      <c r="K745">
        <v>1</v>
      </c>
      <c r="L745" s="6" t="s">
        <v>81</v>
      </c>
      <c r="M745" s="6" t="s">
        <v>22</v>
      </c>
      <c r="N745">
        <v>576.35</v>
      </c>
    </row>
    <row r="746" spans="1:14" x14ac:dyDescent="0.35">
      <c r="A746" s="6" t="s">
        <v>2758</v>
      </c>
      <c r="B746" s="7">
        <v>45455</v>
      </c>
      <c r="C746" s="6" t="s">
        <v>2759</v>
      </c>
      <c r="D746" s="6" t="s">
        <v>32</v>
      </c>
      <c r="E746">
        <v>2</v>
      </c>
      <c r="F746">
        <v>461.37</v>
      </c>
      <c r="G746" s="6" t="s">
        <v>2760</v>
      </c>
      <c r="H746" s="6" t="s">
        <v>65</v>
      </c>
      <c r="I746" s="6" t="s">
        <v>50</v>
      </c>
      <c r="J746" s="6" t="s">
        <v>2761</v>
      </c>
      <c r="K746">
        <v>5</v>
      </c>
      <c r="L746" s="6" t="s">
        <v>21</v>
      </c>
      <c r="M746" s="6" t="s">
        <v>76</v>
      </c>
      <c r="N746">
        <v>922.74</v>
      </c>
    </row>
    <row r="747" spans="1:14" x14ac:dyDescent="0.35">
      <c r="A747" s="6" t="s">
        <v>2762</v>
      </c>
      <c r="B747" s="7">
        <v>44987</v>
      </c>
      <c r="C747" s="6" t="s">
        <v>2763</v>
      </c>
      <c r="D747" s="6" t="s">
        <v>48</v>
      </c>
      <c r="E747">
        <v>4</v>
      </c>
      <c r="F747">
        <v>111.3</v>
      </c>
      <c r="G747" s="6" t="s">
        <v>2764</v>
      </c>
      <c r="H747" s="6" t="s">
        <v>18</v>
      </c>
      <c r="I747" s="6" t="s">
        <v>89</v>
      </c>
      <c r="J747" s="6" t="s">
        <v>2765</v>
      </c>
      <c r="K747">
        <v>7</v>
      </c>
      <c r="L747" s="6" t="s">
        <v>37</v>
      </c>
      <c r="M747" s="6" t="s">
        <v>38</v>
      </c>
      <c r="N747">
        <v>445.2</v>
      </c>
    </row>
    <row r="748" spans="1:14" x14ac:dyDescent="0.35">
      <c r="A748" s="6" t="s">
        <v>2766</v>
      </c>
      <c r="B748" s="7">
        <v>45712</v>
      </c>
      <c r="C748" s="6" t="s">
        <v>2767</v>
      </c>
      <c r="D748" s="6" t="s">
        <v>73</v>
      </c>
      <c r="E748">
        <v>3</v>
      </c>
      <c r="F748">
        <v>661.89</v>
      </c>
      <c r="G748" s="6" t="s">
        <v>2768</v>
      </c>
      <c r="H748" s="6" t="s">
        <v>27</v>
      </c>
      <c r="I748" s="6" t="s">
        <v>35</v>
      </c>
      <c r="J748" s="6" t="s">
        <v>2769</v>
      </c>
      <c r="K748">
        <v>6</v>
      </c>
      <c r="L748" s="6" t="s">
        <v>81</v>
      </c>
      <c r="M748" s="6" t="s">
        <v>29</v>
      </c>
      <c r="N748">
        <v>1985.67</v>
      </c>
    </row>
    <row r="749" spans="1:14" x14ac:dyDescent="0.35">
      <c r="A749" s="6" t="s">
        <v>2770</v>
      </c>
      <c r="B749" s="7">
        <v>45728</v>
      </c>
      <c r="C749" s="6" t="s">
        <v>2771</v>
      </c>
      <c r="D749" s="6" t="s">
        <v>32</v>
      </c>
      <c r="E749">
        <v>2</v>
      </c>
      <c r="F749">
        <v>259.58</v>
      </c>
      <c r="G749" s="6" t="s">
        <v>2772</v>
      </c>
      <c r="H749" s="6" t="s">
        <v>18</v>
      </c>
      <c r="I749" s="6" t="s">
        <v>50</v>
      </c>
      <c r="J749" s="6" t="s">
        <v>2773</v>
      </c>
      <c r="K749">
        <v>7</v>
      </c>
      <c r="L749" s="6" t="s">
        <v>37</v>
      </c>
      <c r="M749" s="6" t="s">
        <v>22</v>
      </c>
      <c r="N749">
        <v>519.16</v>
      </c>
    </row>
    <row r="750" spans="1:14" x14ac:dyDescent="0.35">
      <c r="A750" s="6" t="s">
        <v>2774</v>
      </c>
      <c r="B750" s="7">
        <v>45488</v>
      </c>
      <c r="C750" s="6" t="s">
        <v>2775</v>
      </c>
      <c r="D750" s="6" t="s">
        <v>32</v>
      </c>
      <c r="E750">
        <v>3</v>
      </c>
      <c r="F750">
        <v>70.81</v>
      </c>
      <c r="G750" s="6" t="s">
        <v>1908</v>
      </c>
      <c r="H750" s="6" t="s">
        <v>34</v>
      </c>
      <c r="I750" s="6" t="s">
        <v>19</v>
      </c>
      <c r="J750" s="6" t="s">
        <v>2776</v>
      </c>
      <c r="K750">
        <v>8</v>
      </c>
      <c r="L750" s="6" t="s">
        <v>37</v>
      </c>
      <c r="M750" s="6" t="s">
        <v>29</v>
      </c>
      <c r="N750">
        <v>212.43</v>
      </c>
    </row>
    <row r="751" spans="1:14" x14ac:dyDescent="0.35">
      <c r="A751" s="6" t="s">
        <v>2777</v>
      </c>
      <c r="B751" s="7">
        <v>45760</v>
      </c>
      <c r="C751" s="6" t="s">
        <v>2778</v>
      </c>
      <c r="D751" s="6" t="s">
        <v>58</v>
      </c>
      <c r="E751">
        <v>1</v>
      </c>
      <c r="F751">
        <v>518.39</v>
      </c>
      <c r="G751" s="6" t="s">
        <v>2779</v>
      </c>
      <c r="H751" s="6" t="s">
        <v>18</v>
      </c>
      <c r="I751" s="6" t="s">
        <v>89</v>
      </c>
      <c r="J751" s="6" t="s">
        <v>2780</v>
      </c>
      <c r="K751">
        <v>4</v>
      </c>
      <c r="L751" s="6" t="s">
        <v>37</v>
      </c>
      <c r="M751" s="6" t="s">
        <v>22</v>
      </c>
      <c r="N751">
        <v>518.39</v>
      </c>
    </row>
    <row r="752" spans="1:14" x14ac:dyDescent="0.35">
      <c r="A752" s="6" t="s">
        <v>2781</v>
      </c>
      <c r="B752" s="7">
        <v>44940</v>
      </c>
      <c r="C752" s="6" t="s">
        <v>2782</v>
      </c>
      <c r="D752" s="6" t="s">
        <v>32</v>
      </c>
      <c r="E752">
        <v>4</v>
      </c>
      <c r="F752">
        <v>145.41</v>
      </c>
      <c r="G752" s="6" t="s">
        <v>2783</v>
      </c>
      <c r="H752" s="6" t="s">
        <v>34</v>
      </c>
      <c r="I752" s="6" t="s">
        <v>43</v>
      </c>
      <c r="J752" s="6" t="s">
        <v>2784</v>
      </c>
      <c r="K752">
        <v>7</v>
      </c>
      <c r="L752" s="6" t="s">
        <v>37</v>
      </c>
      <c r="M752" s="6" t="s">
        <v>38</v>
      </c>
      <c r="N752">
        <v>581.64</v>
      </c>
    </row>
    <row r="753" spans="1:14" x14ac:dyDescent="0.35">
      <c r="A753" s="6" t="s">
        <v>2785</v>
      </c>
      <c r="B753" s="7">
        <v>44950</v>
      </c>
      <c r="C753" s="6" t="s">
        <v>2786</v>
      </c>
      <c r="D753" s="6" t="s">
        <v>32</v>
      </c>
      <c r="E753">
        <v>2</v>
      </c>
      <c r="F753">
        <v>599.86</v>
      </c>
      <c r="G753" s="6" t="s">
        <v>2787</v>
      </c>
      <c r="H753" s="6" t="s">
        <v>60</v>
      </c>
      <c r="I753" s="6" t="s">
        <v>89</v>
      </c>
      <c r="J753" s="6" t="s">
        <v>2788</v>
      </c>
      <c r="K753">
        <v>7</v>
      </c>
      <c r="L753" s="6" t="s">
        <v>37</v>
      </c>
      <c r="M753" s="6" t="s">
        <v>45</v>
      </c>
      <c r="N753">
        <v>1199.72</v>
      </c>
    </row>
    <row r="754" spans="1:14" x14ac:dyDescent="0.35">
      <c r="A754" s="6" t="s">
        <v>2789</v>
      </c>
      <c r="B754" s="7">
        <v>45568</v>
      </c>
      <c r="C754" s="6" t="s">
        <v>2790</v>
      </c>
      <c r="D754" s="6" t="s">
        <v>25</v>
      </c>
      <c r="E754">
        <v>4</v>
      </c>
      <c r="F754">
        <v>429.37</v>
      </c>
      <c r="G754" s="6" t="s">
        <v>1113</v>
      </c>
      <c r="H754" s="6" t="s">
        <v>34</v>
      </c>
      <c r="I754" s="6" t="s">
        <v>50</v>
      </c>
      <c r="J754" s="6" t="s">
        <v>2791</v>
      </c>
      <c r="K754">
        <v>8</v>
      </c>
      <c r="L754" s="6" t="s">
        <v>37</v>
      </c>
      <c r="M754" s="6" t="s">
        <v>76</v>
      </c>
      <c r="N754">
        <v>1717.48</v>
      </c>
    </row>
    <row r="755" spans="1:14" x14ac:dyDescent="0.35">
      <c r="A755" s="6" t="s">
        <v>2792</v>
      </c>
      <c r="B755" s="7">
        <v>45406</v>
      </c>
      <c r="C755" s="6" t="s">
        <v>2793</v>
      </c>
      <c r="D755" s="6" t="s">
        <v>25</v>
      </c>
      <c r="E755">
        <v>2</v>
      </c>
      <c r="F755">
        <v>241.49</v>
      </c>
      <c r="G755" s="6" t="s">
        <v>2794</v>
      </c>
      <c r="H755" s="6" t="s">
        <v>18</v>
      </c>
      <c r="I755" s="6" t="s">
        <v>43</v>
      </c>
      <c r="J755" s="6" t="s">
        <v>2795</v>
      </c>
      <c r="K755">
        <v>7</v>
      </c>
      <c r="L755" s="6" t="s">
        <v>37</v>
      </c>
      <c r="M755" s="6" t="s">
        <v>22</v>
      </c>
      <c r="N755">
        <v>482.98</v>
      </c>
    </row>
    <row r="756" spans="1:14" x14ac:dyDescent="0.35">
      <c r="A756" s="6" t="s">
        <v>2796</v>
      </c>
      <c r="B756" s="7">
        <v>45808</v>
      </c>
      <c r="C756" s="6" t="s">
        <v>2797</v>
      </c>
      <c r="D756" s="6" t="s">
        <v>48</v>
      </c>
      <c r="E756">
        <v>2</v>
      </c>
      <c r="F756">
        <v>452.05</v>
      </c>
      <c r="G756" s="6" t="s">
        <v>2798</v>
      </c>
      <c r="H756" s="6" t="s">
        <v>34</v>
      </c>
      <c r="I756" s="6" t="s">
        <v>43</v>
      </c>
      <c r="J756" s="6" t="s">
        <v>2799</v>
      </c>
      <c r="K756">
        <v>3</v>
      </c>
      <c r="L756" s="6" t="s">
        <v>81</v>
      </c>
      <c r="M756" s="6" t="s">
        <v>38</v>
      </c>
      <c r="N756">
        <v>904.1</v>
      </c>
    </row>
    <row r="757" spans="1:14" x14ac:dyDescent="0.35">
      <c r="A757" s="6" t="s">
        <v>2800</v>
      </c>
      <c r="B757" s="7">
        <v>45090</v>
      </c>
      <c r="C757" s="6" t="s">
        <v>2801</v>
      </c>
      <c r="D757" s="6" t="s">
        <v>73</v>
      </c>
      <c r="E757">
        <v>3</v>
      </c>
      <c r="F757">
        <v>336.71</v>
      </c>
      <c r="G757" s="6" t="s">
        <v>2802</v>
      </c>
      <c r="H757" s="6" t="s">
        <v>34</v>
      </c>
      <c r="I757" s="6" t="s">
        <v>89</v>
      </c>
      <c r="J757" s="6" t="s">
        <v>2803</v>
      </c>
      <c r="K757">
        <v>4</v>
      </c>
      <c r="L757" s="6" t="s">
        <v>4283</v>
      </c>
      <c r="M757" s="6" t="s">
        <v>38</v>
      </c>
      <c r="N757">
        <v>1010.13</v>
      </c>
    </row>
    <row r="758" spans="1:14" x14ac:dyDescent="0.35">
      <c r="A758" s="6" t="s">
        <v>2804</v>
      </c>
      <c r="B758" s="7">
        <v>45470</v>
      </c>
      <c r="C758" s="6" t="s">
        <v>2805</v>
      </c>
      <c r="D758" s="6" t="s">
        <v>25</v>
      </c>
      <c r="E758">
        <v>1</v>
      </c>
      <c r="F758">
        <v>283.69</v>
      </c>
      <c r="G758" s="6" t="s">
        <v>269</v>
      </c>
      <c r="H758" s="6" t="s">
        <v>60</v>
      </c>
      <c r="I758" s="6" t="s">
        <v>19</v>
      </c>
      <c r="J758" s="6" t="s">
        <v>2806</v>
      </c>
      <c r="K758">
        <v>6</v>
      </c>
      <c r="L758" s="6" t="s">
        <v>4283</v>
      </c>
      <c r="M758" s="6" t="s">
        <v>76</v>
      </c>
      <c r="N758">
        <v>283.69</v>
      </c>
    </row>
    <row r="759" spans="1:14" x14ac:dyDescent="0.35">
      <c r="A759" s="6" t="s">
        <v>2807</v>
      </c>
      <c r="B759" s="7">
        <v>45344</v>
      </c>
      <c r="C759" s="6" t="s">
        <v>2808</v>
      </c>
      <c r="D759" s="6" t="s">
        <v>73</v>
      </c>
      <c r="E759">
        <v>1</v>
      </c>
      <c r="F759">
        <v>157.72</v>
      </c>
      <c r="G759" s="6" t="s">
        <v>779</v>
      </c>
      <c r="H759" s="6" t="s">
        <v>18</v>
      </c>
      <c r="I759" s="6" t="s">
        <v>50</v>
      </c>
      <c r="J759" s="6" t="s">
        <v>2809</v>
      </c>
      <c r="K759">
        <v>2</v>
      </c>
      <c r="L759" s="6" t="s">
        <v>37</v>
      </c>
      <c r="M759" s="6" t="s">
        <v>76</v>
      </c>
      <c r="N759">
        <v>157.72</v>
      </c>
    </row>
    <row r="760" spans="1:14" x14ac:dyDescent="0.35">
      <c r="A760" s="6" t="s">
        <v>2810</v>
      </c>
      <c r="B760" s="7">
        <v>45011</v>
      </c>
      <c r="C760" s="6" t="s">
        <v>2811</v>
      </c>
      <c r="D760" s="6" t="s">
        <v>32</v>
      </c>
      <c r="E760">
        <v>3</v>
      </c>
      <c r="F760">
        <v>624.84</v>
      </c>
      <c r="G760" s="6" t="s">
        <v>335</v>
      </c>
      <c r="H760" s="6" t="s">
        <v>34</v>
      </c>
      <c r="I760" s="6" t="s">
        <v>35</v>
      </c>
      <c r="J760" s="6" t="s">
        <v>2812</v>
      </c>
      <c r="K760">
        <v>8</v>
      </c>
      <c r="L760" s="6" t="s">
        <v>81</v>
      </c>
      <c r="M760" s="6" t="s">
        <v>45</v>
      </c>
      <c r="N760">
        <v>1874.52</v>
      </c>
    </row>
    <row r="761" spans="1:14" x14ac:dyDescent="0.35">
      <c r="A761" s="6" t="s">
        <v>2813</v>
      </c>
      <c r="B761" s="7">
        <v>45131</v>
      </c>
      <c r="C761" s="6" t="s">
        <v>2814</v>
      </c>
      <c r="D761" s="6" t="s">
        <v>73</v>
      </c>
      <c r="E761">
        <v>3</v>
      </c>
      <c r="F761">
        <v>308.01</v>
      </c>
      <c r="G761" s="6" t="s">
        <v>2815</v>
      </c>
      <c r="H761" s="6" t="s">
        <v>65</v>
      </c>
      <c r="I761" s="6" t="s">
        <v>89</v>
      </c>
      <c r="J761" s="6" t="s">
        <v>2816</v>
      </c>
      <c r="K761">
        <v>3</v>
      </c>
      <c r="L761" s="6" t="s">
        <v>37</v>
      </c>
      <c r="M761" s="6" t="s">
        <v>45</v>
      </c>
      <c r="N761">
        <v>924.03</v>
      </c>
    </row>
    <row r="762" spans="1:14" x14ac:dyDescent="0.35">
      <c r="A762" s="6" t="s">
        <v>2817</v>
      </c>
      <c r="B762" s="7">
        <v>45706</v>
      </c>
      <c r="C762" s="6" t="s">
        <v>2818</v>
      </c>
      <c r="D762" s="6" t="s">
        <v>73</v>
      </c>
      <c r="E762">
        <v>1</v>
      </c>
      <c r="F762">
        <v>39.56</v>
      </c>
      <c r="G762" s="6" t="s">
        <v>735</v>
      </c>
      <c r="H762" s="6" t="s">
        <v>18</v>
      </c>
      <c r="I762" s="6" t="s">
        <v>35</v>
      </c>
      <c r="J762" s="6" t="s">
        <v>2819</v>
      </c>
      <c r="K762">
        <v>5</v>
      </c>
      <c r="L762" s="6" t="s">
        <v>4283</v>
      </c>
      <c r="M762" s="6" t="s">
        <v>76</v>
      </c>
      <c r="N762">
        <v>39.56</v>
      </c>
    </row>
    <row r="763" spans="1:14" x14ac:dyDescent="0.35">
      <c r="A763" s="6" t="s">
        <v>2820</v>
      </c>
      <c r="B763" s="7">
        <v>45079</v>
      </c>
      <c r="C763" s="6" t="s">
        <v>2821</v>
      </c>
      <c r="D763" s="6" t="s">
        <v>73</v>
      </c>
      <c r="E763">
        <v>4</v>
      </c>
      <c r="F763">
        <v>37.76</v>
      </c>
      <c r="G763" s="6" t="s">
        <v>2822</v>
      </c>
      <c r="H763" s="6" t="s">
        <v>18</v>
      </c>
      <c r="I763" s="6" t="s">
        <v>50</v>
      </c>
      <c r="J763" s="6" t="s">
        <v>2823</v>
      </c>
      <c r="K763">
        <v>7</v>
      </c>
      <c r="L763" s="6" t="s">
        <v>4283</v>
      </c>
      <c r="M763" s="6" t="s">
        <v>76</v>
      </c>
      <c r="N763">
        <v>151.04</v>
      </c>
    </row>
    <row r="764" spans="1:14" x14ac:dyDescent="0.35">
      <c r="A764" s="6" t="s">
        <v>2824</v>
      </c>
      <c r="B764" s="7">
        <v>45552</v>
      </c>
      <c r="C764" s="6" t="s">
        <v>2825</v>
      </c>
      <c r="D764" s="6" t="s">
        <v>25</v>
      </c>
      <c r="E764">
        <v>3</v>
      </c>
      <c r="F764">
        <v>76.959999999999994</v>
      </c>
      <c r="G764" s="6" t="s">
        <v>395</v>
      </c>
      <c r="H764" s="6" t="s">
        <v>65</v>
      </c>
      <c r="I764" s="6" t="s">
        <v>43</v>
      </c>
      <c r="J764" s="6" t="s">
        <v>2826</v>
      </c>
      <c r="K764">
        <v>8</v>
      </c>
      <c r="L764" s="6" t="s">
        <v>37</v>
      </c>
      <c r="M764" s="6" t="s">
        <v>38</v>
      </c>
      <c r="N764">
        <v>230.88</v>
      </c>
    </row>
    <row r="765" spans="1:14" x14ac:dyDescent="0.35">
      <c r="A765" s="6" t="s">
        <v>2827</v>
      </c>
      <c r="B765" s="7">
        <v>45022</v>
      </c>
      <c r="C765" s="6" t="s">
        <v>2828</v>
      </c>
      <c r="D765" s="6" t="s">
        <v>58</v>
      </c>
      <c r="E765">
        <v>1</v>
      </c>
      <c r="F765">
        <v>569.96</v>
      </c>
      <c r="G765" s="6" t="s">
        <v>426</v>
      </c>
      <c r="H765" s="6" t="s">
        <v>27</v>
      </c>
      <c r="I765" s="6" t="s">
        <v>50</v>
      </c>
      <c r="J765" s="6" t="s">
        <v>2829</v>
      </c>
      <c r="K765">
        <v>4</v>
      </c>
      <c r="L765" s="6" t="s">
        <v>37</v>
      </c>
      <c r="M765" s="6" t="s">
        <v>38</v>
      </c>
      <c r="N765">
        <v>569.96</v>
      </c>
    </row>
    <row r="766" spans="1:14" x14ac:dyDescent="0.35">
      <c r="A766" s="6" t="s">
        <v>2830</v>
      </c>
      <c r="B766" s="7">
        <v>45361</v>
      </c>
      <c r="C766" s="6" t="s">
        <v>2831</v>
      </c>
      <c r="D766" s="6" t="s">
        <v>58</v>
      </c>
      <c r="E766">
        <v>5</v>
      </c>
      <c r="F766">
        <v>627.42999999999995</v>
      </c>
      <c r="G766" s="6" t="s">
        <v>715</v>
      </c>
      <c r="H766" s="6" t="s">
        <v>34</v>
      </c>
      <c r="I766" s="6" t="s">
        <v>35</v>
      </c>
      <c r="J766" s="6" t="s">
        <v>2832</v>
      </c>
      <c r="K766">
        <v>10</v>
      </c>
      <c r="L766" s="6" t="s">
        <v>37</v>
      </c>
      <c r="M766" s="6" t="s">
        <v>38</v>
      </c>
      <c r="N766">
        <v>3137.15</v>
      </c>
    </row>
    <row r="767" spans="1:14" x14ac:dyDescent="0.35">
      <c r="A767" s="6" t="s">
        <v>2833</v>
      </c>
      <c r="B767" s="7">
        <v>45205</v>
      </c>
      <c r="C767" s="6" t="s">
        <v>2834</v>
      </c>
      <c r="D767" s="6" t="s">
        <v>58</v>
      </c>
      <c r="E767">
        <v>2</v>
      </c>
      <c r="F767">
        <v>534.91</v>
      </c>
      <c r="G767" s="6" t="s">
        <v>2661</v>
      </c>
      <c r="H767" s="6" t="s">
        <v>18</v>
      </c>
      <c r="I767" s="6" t="s">
        <v>43</v>
      </c>
      <c r="J767" s="6" t="s">
        <v>2835</v>
      </c>
      <c r="K767">
        <v>5</v>
      </c>
      <c r="L767" s="6" t="s">
        <v>21</v>
      </c>
      <c r="M767" s="6" t="s">
        <v>76</v>
      </c>
      <c r="N767">
        <v>1069.82</v>
      </c>
    </row>
    <row r="768" spans="1:14" x14ac:dyDescent="0.35">
      <c r="A768" s="6" t="s">
        <v>2836</v>
      </c>
      <c r="B768" s="7">
        <v>44948</v>
      </c>
      <c r="C768" s="6" t="s">
        <v>2837</v>
      </c>
      <c r="D768" s="6" t="s">
        <v>48</v>
      </c>
      <c r="E768">
        <v>2</v>
      </c>
      <c r="F768">
        <v>278.88</v>
      </c>
      <c r="G768" s="6" t="s">
        <v>1388</v>
      </c>
      <c r="H768" s="6" t="s">
        <v>18</v>
      </c>
      <c r="I768" s="6" t="s">
        <v>89</v>
      </c>
      <c r="J768" s="6" t="s">
        <v>2838</v>
      </c>
      <c r="K768">
        <v>3</v>
      </c>
      <c r="L768" s="6" t="s">
        <v>37</v>
      </c>
      <c r="M768" s="6" t="s">
        <v>29</v>
      </c>
      <c r="N768">
        <v>557.76</v>
      </c>
    </row>
    <row r="769" spans="1:14" x14ac:dyDescent="0.35">
      <c r="A769" s="6" t="s">
        <v>2839</v>
      </c>
      <c r="B769" s="7">
        <v>45765</v>
      </c>
      <c r="C769" s="6" t="s">
        <v>2840</v>
      </c>
      <c r="D769" s="6" t="s">
        <v>32</v>
      </c>
      <c r="E769">
        <v>2</v>
      </c>
      <c r="F769">
        <v>323.22000000000003</v>
      </c>
      <c r="G769" s="6" t="s">
        <v>2841</v>
      </c>
      <c r="H769" s="6" t="s">
        <v>34</v>
      </c>
      <c r="I769" s="6" t="s">
        <v>50</v>
      </c>
      <c r="J769" s="6" t="s">
        <v>2842</v>
      </c>
      <c r="K769">
        <v>7</v>
      </c>
      <c r="L769" s="6" t="s">
        <v>4283</v>
      </c>
      <c r="M769" s="6" t="s">
        <v>22</v>
      </c>
      <c r="N769">
        <v>646.44000000000005</v>
      </c>
    </row>
    <row r="770" spans="1:14" x14ac:dyDescent="0.35">
      <c r="A770" s="6" t="s">
        <v>2843</v>
      </c>
      <c r="B770" s="7">
        <v>45173</v>
      </c>
      <c r="C770" s="6" t="s">
        <v>2844</v>
      </c>
      <c r="D770" s="6" t="s">
        <v>32</v>
      </c>
      <c r="E770">
        <v>5</v>
      </c>
      <c r="F770">
        <v>653.46</v>
      </c>
      <c r="G770" s="6" t="s">
        <v>2845</v>
      </c>
      <c r="H770" s="6" t="s">
        <v>65</v>
      </c>
      <c r="I770" s="6" t="s">
        <v>35</v>
      </c>
      <c r="J770" s="6" t="s">
        <v>2846</v>
      </c>
      <c r="K770">
        <v>9</v>
      </c>
      <c r="L770" s="6" t="s">
        <v>81</v>
      </c>
      <c r="M770" s="6" t="s">
        <v>38</v>
      </c>
      <c r="N770">
        <v>3267.3</v>
      </c>
    </row>
    <row r="771" spans="1:14" x14ac:dyDescent="0.35">
      <c r="A771" s="6" t="s">
        <v>2847</v>
      </c>
      <c r="B771" s="7">
        <v>45113</v>
      </c>
      <c r="C771" s="6" t="s">
        <v>2848</v>
      </c>
      <c r="D771" s="6" t="s">
        <v>48</v>
      </c>
      <c r="E771">
        <v>4</v>
      </c>
      <c r="F771">
        <v>678.55</v>
      </c>
      <c r="G771" s="6" t="s">
        <v>153</v>
      </c>
      <c r="H771" s="6" t="s">
        <v>65</v>
      </c>
      <c r="I771" s="6" t="s">
        <v>50</v>
      </c>
      <c r="J771" s="6" t="s">
        <v>2849</v>
      </c>
      <c r="K771">
        <v>5</v>
      </c>
      <c r="L771" s="6" t="s">
        <v>4283</v>
      </c>
      <c r="M771" s="6" t="s">
        <v>38</v>
      </c>
      <c r="N771">
        <v>2714.2</v>
      </c>
    </row>
    <row r="772" spans="1:14" x14ac:dyDescent="0.35">
      <c r="A772" s="6" t="s">
        <v>2850</v>
      </c>
      <c r="B772" s="7">
        <v>45333</v>
      </c>
      <c r="C772" s="6" t="s">
        <v>2851</v>
      </c>
      <c r="D772" s="6" t="s">
        <v>73</v>
      </c>
      <c r="E772">
        <v>1</v>
      </c>
      <c r="F772">
        <v>314.38</v>
      </c>
      <c r="G772" s="6" t="s">
        <v>1723</v>
      </c>
      <c r="H772" s="6" t="s">
        <v>27</v>
      </c>
      <c r="I772" s="6" t="s">
        <v>43</v>
      </c>
      <c r="J772" s="6" t="s">
        <v>2852</v>
      </c>
      <c r="K772">
        <v>6</v>
      </c>
      <c r="L772" s="6" t="s">
        <v>4283</v>
      </c>
      <c r="M772" s="6" t="s">
        <v>76</v>
      </c>
      <c r="N772">
        <v>314.38</v>
      </c>
    </row>
    <row r="773" spans="1:14" x14ac:dyDescent="0.35">
      <c r="A773" s="6" t="s">
        <v>2853</v>
      </c>
      <c r="B773" s="7">
        <v>45455</v>
      </c>
      <c r="C773" s="6" t="s">
        <v>2854</v>
      </c>
      <c r="D773" s="6" t="s">
        <v>25</v>
      </c>
      <c r="E773">
        <v>3</v>
      </c>
      <c r="F773">
        <v>692.44</v>
      </c>
      <c r="G773" s="6" t="s">
        <v>1501</v>
      </c>
      <c r="H773" s="6" t="s">
        <v>18</v>
      </c>
      <c r="I773" s="6" t="s">
        <v>35</v>
      </c>
      <c r="J773" s="6" t="s">
        <v>2855</v>
      </c>
      <c r="K773">
        <v>8</v>
      </c>
      <c r="L773" s="6" t="s">
        <v>37</v>
      </c>
      <c r="M773" s="6" t="s">
        <v>76</v>
      </c>
      <c r="N773">
        <v>2077.3200000000002</v>
      </c>
    </row>
    <row r="774" spans="1:14" x14ac:dyDescent="0.35">
      <c r="A774" s="6" t="s">
        <v>2856</v>
      </c>
      <c r="B774" s="7">
        <v>45501</v>
      </c>
      <c r="C774" s="6" t="s">
        <v>2857</v>
      </c>
      <c r="D774" s="6" t="s">
        <v>16</v>
      </c>
      <c r="E774">
        <v>1</v>
      </c>
      <c r="F774">
        <v>604.87</v>
      </c>
      <c r="G774" s="6" t="s">
        <v>2858</v>
      </c>
      <c r="H774" s="6" t="s">
        <v>27</v>
      </c>
      <c r="I774" s="6" t="s">
        <v>50</v>
      </c>
      <c r="J774" s="6" t="s">
        <v>2859</v>
      </c>
      <c r="K774">
        <v>4</v>
      </c>
      <c r="L774" s="6" t="s">
        <v>4283</v>
      </c>
      <c r="M774" s="6" t="s">
        <v>22</v>
      </c>
      <c r="N774">
        <v>604.87</v>
      </c>
    </row>
    <row r="775" spans="1:14" x14ac:dyDescent="0.35">
      <c r="A775" s="6" t="s">
        <v>2860</v>
      </c>
      <c r="B775" s="7">
        <v>45836</v>
      </c>
      <c r="C775" s="6" t="s">
        <v>2861</v>
      </c>
      <c r="D775" s="6" t="s">
        <v>25</v>
      </c>
      <c r="E775">
        <v>2</v>
      </c>
      <c r="F775">
        <v>512.33000000000004</v>
      </c>
      <c r="G775" s="6" t="s">
        <v>2862</v>
      </c>
      <c r="H775" s="6" t="s">
        <v>65</v>
      </c>
      <c r="I775" s="6" t="s">
        <v>35</v>
      </c>
      <c r="J775" s="6" t="s">
        <v>2863</v>
      </c>
      <c r="K775">
        <v>7</v>
      </c>
      <c r="L775" s="6" t="s">
        <v>4283</v>
      </c>
      <c r="M775" s="6" t="s">
        <v>45</v>
      </c>
      <c r="N775">
        <v>1024.6600000000001</v>
      </c>
    </row>
    <row r="776" spans="1:14" x14ac:dyDescent="0.35">
      <c r="A776" s="6" t="s">
        <v>2864</v>
      </c>
      <c r="B776" s="7">
        <v>45762</v>
      </c>
      <c r="C776" s="6" t="s">
        <v>2865</v>
      </c>
      <c r="D776" s="6" t="s">
        <v>41</v>
      </c>
      <c r="E776">
        <v>3</v>
      </c>
      <c r="F776">
        <v>20.54</v>
      </c>
      <c r="G776" s="6" t="s">
        <v>2866</v>
      </c>
      <c r="H776" s="6" t="s">
        <v>34</v>
      </c>
      <c r="I776" s="6" t="s">
        <v>35</v>
      </c>
      <c r="J776" s="6" t="s">
        <v>2867</v>
      </c>
      <c r="K776">
        <v>3</v>
      </c>
      <c r="L776" s="6" t="s">
        <v>37</v>
      </c>
      <c r="M776" s="6" t="s">
        <v>22</v>
      </c>
      <c r="N776">
        <v>61.62</v>
      </c>
    </row>
    <row r="777" spans="1:14" x14ac:dyDescent="0.35">
      <c r="A777" s="6" t="s">
        <v>2868</v>
      </c>
      <c r="B777" s="7">
        <v>44989</v>
      </c>
      <c r="C777" s="6" t="s">
        <v>2869</v>
      </c>
      <c r="D777" s="6" t="s">
        <v>25</v>
      </c>
      <c r="E777">
        <v>2</v>
      </c>
      <c r="F777">
        <v>625.22</v>
      </c>
      <c r="G777" s="6" t="s">
        <v>125</v>
      </c>
      <c r="H777" s="6" t="s">
        <v>27</v>
      </c>
      <c r="I777" s="6" t="s">
        <v>35</v>
      </c>
      <c r="J777" s="6" t="s">
        <v>2870</v>
      </c>
      <c r="K777">
        <v>5</v>
      </c>
      <c r="L777" s="6" t="s">
        <v>4283</v>
      </c>
      <c r="M777" s="6" t="s">
        <v>76</v>
      </c>
      <c r="N777">
        <v>1250.44</v>
      </c>
    </row>
    <row r="778" spans="1:14" x14ac:dyDescent="0.35">
      <c r="A778" s="6" t="s">
        <v>2871</v>
      </c>
      <c r="B778" s="7">
        <v>45159</v>
      </c>
      <c r="C778" s="6" t="s">
        <v>2872</v>
      </c>
      <c r="D778" s="6" t="s">
        <v>32</v>
      </c>
      <c r="E778">
        <v>1</v>
      </c>
      <c r="F778">
        <v>21.19</v>
      </c>
      <c r="G778" s="6" t="s">
        <v>2873</v>
      </c>
      <c r="H778" s="6" t="s">
        <v>65</v>
      </c>
      <c r="I778" s="6" t="s">
        <v>43</v>
      </c>
      <c r="J778" s="6" t="s">
        <v>2874</v>
      </c>
      <c r="K778">
        <v>5</v>
      </c>
      <c r="L778" s="6" t="s">
        <v>81</v>
      </c>
      <c r="M778" s="6" t="s">
        <v>76</v>
      </c>
      <c r="N778">
        <v>21.19</v>
      </c>
    </row>
    <row r="779" spans="1:14" x14ac:dyDescent="0.35">
      <c r="A779" s="6" t="s">
        <v>2875</v>
      </c>
      <c r="B779" s="7">
        <v>45737</v>
      </c>
      <c r="C779" s="6" t="s">
        <v>2876</v>
      </c>
      <c r="D779" s="6" t="s">
        <v>41</v>
      </c>
      <c r="E779">
        <v>5</v>
      </c>
      <c r="F779">
        <v>64.489999999999995</v>
      </c>
      <c r="G779" s="6" t="s">
        <v>129</v>
      </c>
      <c r="H779" s="6" t="s">
        <v>27</v>
      </c>
      <c r="I779" s="6" t="s">
        <v>35</v>
      </c>
      <c r="J779" s="6" t="s">
        <v>2877</v>
      </c>
      <c r="K779">
        <v>7</v>
      </c>
      <c r="L779" s="6" t="s">
        <v>4283</v>
      </c>
      <c r="M779" s="6" t="s">
        <v>45</v>
      </c>
      <c r="N779">
        <v>322.45</v>
      </c>
    </row>
    <row r="780" spans="1:14" x14ac:dyDescent="0.35">
      <c r="A780" s="6" t="s">
        <v>2878</v>
      </c>
      <c r="B780" s="7">
        <v>45044</v>
      </c>
      <c r="C780" s="6" t="s">
        <v>2879</v>
      </c>
      <c r="D780" s="6" t="s">
        <v>58</v>
      </c>
      <c r="E780">
        <v>4</v>
      </c>
      <c r="F780">
        <v>246.85</v>
      </c>
      <c r="G780" s="6" t="s">
        <v>2880</v>
      </c>
      <c r="H780" s="6" t="s">
        <v>34</v>
      </c>
      <c r="I780" s="6" t="s">
        <v>19</v>
      </c>
      <c r="J780" s="6" t="s">
        <v>2881</v>
      </c>
      <c r="K780">
        <v>8</v>
      </c>
      <c r="L780" s="6" t="s">
        <v>81</v>
      </c>
      <c r="M780" s="6" t="s">
        <v>76</v>
      </c>
      <c r="N780">
        <v>987.4</v>
      </c>
    </row>
    <row r="781" spans="1:14" x14ac:dyDescent="0.35">
      <c r="A781" s="6" t="s">
        <v>2882</v>
      </c>
      <c r="B781" s="7">
        <v>45261</v>
      </c>
      <c r="C781" s="6" t="s">
        <v>2883</v>
      </c>
      <c r="D781" s="6" t="s">
        <v>25</v>
      </c>
      <c r="E781">
        <v>3</v>
      </c>
      <c r="F781">
        <v>588.74</v>
      </c>
      <c r="G781" s="6" t="s">
        <v>2884</v>
      </c>
      <c r="H781" s="6" t="s">
        <v>18</v>
      </c>
      <c r="I781" s="6" t="s">
        <v>89</v>
      </c>
      <c r="J781" s="6" t="s">
        <v>2885</v>
      </c>
      <c r="K781">
        <v>8</v>
      </c>
      <c r="L781" s="6" t="s">
        <v>37</v>
      </c>
      <c r="M781" s="6" t="s">
        <v>38</v>
      </c>
      <c r="N781">
        <v>1766.22</v>
      </c>
    </row>
    <row r="782" spans="1:14" x14ac:dyDescent="0.35">
      <c r="A782" s="6" t="s">
        <v>2886</v>
      </c>
      <c r="B782" s="7">
        <v>45382</v>
      </c>
      <c r="C782" s="6" t="s">
        <v>2887</v>
      </c>
      <c r="D782" s="6" t="s">
        <v>58</v>
      </c>
      <c r="E782">
        <v>4</v>
      </c>
      <c r="F782">
        <v>184.48</v>
      </c>
      <c r="G782" s="6" t="s">
        <v>1712</v>
      </c>
      <c r="H782" s="6" t="s">
        <v>27</v>
      </c>
      <c r="I782" s="6" t="s">
        <v>35</v>
      </c>
      <c r="J782" s="6" t="s">
        <v>2888</v>
      </c>
      <c r="K782">
        <v>4</v>
      </c>
      <c r="L782" s="6" t="s">
        <v>81</v>
      </c>
      <c r="M782" s="6" t="s">
        <v>76</v>
      </c>
      <c r="N782">
        <v>737.92</v>
      </c>
    </row>
    <row r="783" spans="1:14" x14ac:dyDescent="0.35">
      <c r="A783" s="6" t="s">
        <v>2889</v>
      </c>
      <c r="B783" s="7">
        <v>45301</v>
      </c>
      <c r="C783" s="6" t="s">
        <v>2890</v>
      </c>
      <c r="D783" s="6" t="s">
        <v>25</v>
      </c>
      <c r="E783">
        <v>5</v>
      </c>
      <c r="F783">
        <v>524.26</v>
      </c>
      <c r="G783" s="6" t="s">
        <v>54</v>
      </c>
      <c r="H783" s="6" t="s">
        <v>60</v>
      </c>
      <c r="I783" s="6" t="s">
        <v>50</v>
      </c>
      <c r="J783" s="6" t="s">
        <v>2891</v>
      </c>
      <c r="K783">
        <v>5</v>
      </c>
      <c r="L783" s="6" t="s">
        <v>37</v>
      </c>
      <c r="M783" s="6" t="s">
        <v>29</v>
      </c>
      <c r="N783">
        <v>2621.3000000000002</v>
      </c>
    </row>
    <row r="784" spans="1:14" x14ac:dyDescent="0.35">
      <c r="A784" s="6" t="s">
        <v>2892</v>
      </c>
      <c r="B784" s="7">
        <v>45515</v>
      </c>
      <c r="C784" s="6" t="s">
        <v>2893</v>
      </c>
      <c r="D784" s="6" t="s">
        <v>16</v>
      </c>
      <c r="E784">
        <v>2</v>
      </c>
      <c r="F784">
        <v>493.63</v>
      </c>
      <c r="G784" s="6" t="s">
        <v>2153</v>
      </c>
      <c r="H784" s="6" t="s">
        <v>27</v>
      </c>
      <c r="I784" s="6" t="s">
        <v>43</v>
      </c>
      <c r="J784" s="6" t="s">
        <v>2894</v>
      </c>
      <c r="K784">
        <v>6</v>
      </c>
      <c r="L784" s="6" t="s">
        <v>21</v>
      </c>
      <c r="M784" s="6" t="s">
        <v>29</v>
      </c>
      <c r="N784">
        <v>987.26</v>
      </c>
    </row>
    <row r="785" spans="1:14" x14ac:dyDescent="0.35">
      <c r="A785" s="6" t="s">
        <v>2895</v>
      </c>
      <c r="B785" s="7">
        <v>45803</v>
      </c>
      <c r="C785" s="6" t="s">
        <v>2896</v>
      </c>
      <c r="D785" s="6" t="s">
        <v>48</v>
      </c>
      <c r="E785">
        <v>1</v>
      </c>
      <c r="F785">
        <v>438.34</v>
      </c>
      <c r="G785" s="6" t="s">
        <v>2661</v>
      </c>
      <c r="H785" s="6" t="s">
        <v>60</v>
      </c>
      <c r="I785" s="6" t="s">
        <v>43</v>
      </c>
      <c r="J785" s="6" t="s">
        <v>2897</v>
      </c>
      <c r="K785">
        <v>5</v>
      </c>
      <c r="L785" s="6" t="s">
        <v>37</v>
      </c>
      <c r="M785" s="6" t="s">
        <v>45</v>
      </c>
      <c r="N785">
        <v>438.34</v>
      </c>
    </row>
    <row r="786" spans="1:14" x14ac:dyDescent="0.35">
      <c r="A786" s="6" t="s">
        <v>2898</v>
      </c>
      <c r="B786" s="7">
        <v>45793</v>
      </c>
      <c r="C786" s="6" t="s">
        <v>2899</v>
      </c>
      <c r="D786" s="6" t="s">
        <v>58</v>
      </c>
      <c r="E786">
        <v>1</v>
      </c>
      <c r="F786">
        <v>325.81</v>
      </c>
      <c r="G786" s="6" t="s">
        <v>246</v>
      </c>
      <c r="H786" s="6" t="s">
        <v>34</v>
      </c>
      <c r="I786" s="6" t="s">
        <v>89</v>
      </c>
      <c r="J786" s="6" t="s">
        <v>2900</v>
      </c>
      <c r="K786">
        <v>1</v>
      </c>
      <c r="L786" s="6" t="s">
        <v>81</v>
      </c>
      <c r="M786" s="6" t="s">
        <v>29</v>
      </c>
      <c r="N786">
        <v>325.81</v>
      </c>
    </row>
    <row r="787" spans="1:14" x14ac:dyDescent="0.35">
      <c r="A787" s="6" t="s">
        <v>2901</v>
      </c>
      <c r="B787" s="7">
        <v>45136</v>
      </c>
      <c r="C787" s="6" t="s">
        <v>2902</v>
      </c>
      <c r="D787" s="6" t="s">
        <v>41</v>
      </c>
      <c r="E787">
        <v>1</v>
      </c>
      <c r="F787">
        <v>176.1</v>
      </c>
      <c r="G787" s="6" t="s">
        <v>2903</v>
      </c>
      <c r="H787" s="6" t="s">
        <v>34</v>
      </c>
      <c r="I787" s="6" t="s">
        <v>89</v>
      </c>
      <c r="J787" s="6" t="s">
        <v>2904</v>
      </c>
      <c r="K787">
        <v>1</v>
      </c>
      <c r="L787" s="6" t="s">
        <v>21</v>
      </c>
      <c r="M787" s="6" t="s">
        <v>22</v>
      </c>
      <c r="N787">
        <v>176.1</v>
      </c>
    </row>
    <row r="788" spans="1:14" x14ac:dyDescent="0.35">
      <c r="A788" s="6" t="s">
        <v>2905</v>
      </c>
      <c r="B788" s="7">
        <v>45161</v>
      </c>
      <c r="C788" s="6" t="s">
        <v>2906</v>
      </c>
      <c r="D788" s="6" t="s">
        <v>41</v>
      </c>
      <c r="E788">
        <v>5</v>
      </c>
      <c r="F788">
        <v>45.31</v>
      </c>
      <c r="G788" s="6" t="s">
        <v>2907</v>
      </c>
      <c r="H788" s="6" t="s">
        <v>27</v>
      </c>
      <c r="I788" s="6" t="s">
        <v>35</v>
      </c>
      <c r="J788" s="6" t="s">
        <v>2908</v>
      </c>
      <c r="K788">
        <v>8</v>
      </c>
      <c r="L788" s="6" t="s">
        <v>4283</v>
      </c>
      <c r="M788" s="6" t="s">
        <v>29</v>
      </c>
      <c r="N788">
        <v>226.55</v>
      </c>
    </row>
    <row r="789" spans="1:14" x14ac:dyDescent="0.35">
      <c r="A789" s="6" t="s">
        <v>2909</v>
      </c>
      <c r="B789" s="7">
        <v>45368</v>
      </c>
      <c r="C789" s="6" t="s">
        <v>2910</v>
      </c>
      <c r="D789" s="6" t="s">
        <v>73</v>
      </c>
      <c r="E789">
        <v>4</v>
      </c>
      <c r="F789">
        <v>221.96</v>
      </c>
      <c r="G789" s="6" t="s">
        <v>2911</v>
      </c>
      <c r="H789" s="6" t="s">
        <v>65</v>
      </c>
      <c r="I789" s="6" t="s">
        <v>50</v>
      </c>
      <c r="J789" s="6" t="s">
        <v>2912</v>
      </c>
      <c r="K789">
        <v>7</v>
      </c>
      <c r="L789" s="6" t="s">
        <v>4283</v>
      </c>
      <c r="M789" s="6" t="s">
        <v>76</v>
      </c>
      <c r="N789">
        <v>887.84</v>
      </c>
    </row>
    <row r="790" spans="1:14" x14ac:dyDescent="0.35">
      <c r="A790" s="6" t="s">
        <v>2913</v>
      </c>
      <c r="B790" s="7">
        <v>45232</v>
      </c>
      <c r="C790" s="6" t="s">
        <v>2914</v>
      </c>
      <c r="D790" s="6" t="s">
        <v>41</v>
      </c>
      <c r="E790">
        <v>2</v>
      </c>
      <c r="F790">
        <v>601.42999999999995</v>
      </c>
      <c r="G790" s="6" t="s">
        <v>2915</v>
      </c>
      <c r="H790" s="6" t="s">
        <v>27</v>
      </c>
      <c r="I790" s="6" t="s">
        <v>89</v>
      </c>
      <c r="J790" s="6" t="s">
        <v>2916</v>
      </c>
      <c r="K790">
        <v>5</v>
      </c>
      <c r="L790" s="6" t="s">
        <v>37</v>
      </c>
      <c r="M790" s="6" t="s">
        <v>22</v>
      </c>
      <c r="N790">
        <v>1202.8599999999999</v>
      </c>
    </row>
    <row r="791" spans="1:14" x14ac:dyDescent="0.35">
      <c r="A791" s="6" t="s">
        <v>2917</v>
      </c>
      <c r="B791" s="7">
        <v>45155</v>
      </c>
      <c r="C791" s="6" t="s">
        <v>2918</v>
      </c>
      <c r="D791" s="6" t="s">
        <v>32</v>
      </c>
      <c r="E791">
        <v>5</v>
      </c>
      <c r="F791">
        <v>691.28</v>
      </c>
      <c r="G791" s="6" t="s">
        <v>2919</v>
      </c>
      <c r="H791" s="6" t="s">
        <v>27</v>
      </c>
      <c r="I791" s="6" t="s">
        <v>50</v>
      </c>
      <c r="J791" s="6" t="s">
        <v>2920</v>
      </c>
      <c r="K791">
        <v>10</v>
      </c>
      <c r="L791" s="6" t="s">
        <v>21</v>
      </c>
      <c r="M791" s="6" t="s">
        <v>38</v>
      </c>
      <c r="N791">
        <v>3456.4</v>
      </c>
    </row>
    <row r="792" spans="1:14" x14ac:dyDescent="0.35">
      <c r="A792" s="6" t="s">
        <v>2921</v>
      </c>
      <c r="B792" s="7">
        <v>45549</v>
      </c>
      <c r="C792" s="6" t="s">
        <v>2922</v>
      </c>
      <c r="D792" s="6" t="s">
        <v>58</v>
      </c>
      <c r="E792">
        <v>4</v>
      </c>
      <c r="F792">
        <v>417.89</v>
      </c>
      <c r="G792" s="6" t="s">
        <v>2923</v>
      </c>
      <c r="H792" s="6" t="s">
        <v>60</v>
      </c>
      <c r="I792" s="6" t="s">
        <v>89</v>
      </c>
      <c r="J792" s="6" t="s">
        <v>2924</v>
      </c>
      <c r="K792">
        <v>4</v>
      </c>
      <c r="L792" s="6" t="s">
        <v>4283</v>
      </c>
      <c r="M792" s="6" t="s">
        <v>76</v>
      </c>
      <c r="N792">
        <v>1671.56</v>
      </c>
    </row>
    <row r="793" spans="1:14" x14ac:dyDescent="0.35">
      <c r="A793" s="6" t="s">
        <v>2925</v>
      </c>
      <c r="B793" s="7">
        <v>45304</v>
      </c>
      <c r="C793" s="6" t="s">
        <v>2926</v>
      </c>
      <c r="D793" s="6" t="s">
        <v>41</v>
      </c>
      <c r="E793">
        <v>4</v>
      </c>
      <c r="F793">
        <v>409.28</v>
      </c>
      <c r="G793" s="6" t="s">
        <v>137</v>
      </c>
      <c r="H793" s="6" t="s">
        <v>65</v>
      </c>
      <c r="I793" s="6" t="s">
        <v>89</v>
      </c>
      <c r="J793" s="6" t="s">
        <v>2927</v>
      </c>
      <c r="K793">
        <v>8</v>
      </c>
      <c r="L793" s="6" t="s">
        <v>4283</v>
      </c>
      <c r="M793" s="6" t="s">
        <v>38</v>
      </c>
      <c r="N793">
        <v>1637.12</v>
      </c>
    </row>
    <row r="794" spans="1:14" x14ac:dyDescent="0.35">
      <c r="A794" s="6" t="s">
        <v>2928</v>
      </c>
      <c r="B794" s="7">
        <v>45093</v>
      </c>
      <c r="C794" s="6" t="s">
        <v>2929</v>
      </c>
      <c r="D794" s="6" t="s">
        <v>73</v>
      </c>
      <c r="E794">
        <v>2</v>
      </c>
      <c r="F794">
        <v>356.35</v>
      </c>
      <c r="G794" s="6" t="s">
        <v>2930</v>
      </c>
      <c r="H794" s="6" t="s">
        <v>18</v>
      </c>
      <c r="I794" s="6" t="s">
        <v>43</v>
      </c>
      <c r="J794" s="6" t="s">
        <v>2931</v>
      </c>
      <c r="K794">
        <v>6</v>
      </c>
      <c r="L794" s="6" t="s">
        <v>81</v>
      </c>
      <c r="M794" s="6" t="s">
        <v>45</v>
      </c>
      <c r="N794">
        <v>712.7</v>
      </c>
    </row>
    <row r="795" spans="1:14" x14ac:dyDescent="0.35">
      <c r="A795" s="6" t="s">
        <v>2932</v>
      </c>
      <c r="B795" s="7">
        <v>45397</v>
      </c>
      <c r="C795" s="6" t="s">
        <v>2933</v>
      </c>
      <c r="D795" s="6" t="s">
        <v>41</v>
      </c>
      <c r="E795">
        <v>5</v>
      </c>
      <c r="F795">
        <v>170.22</v>
      </c>
      <c r="G795" s="6" t="s">
        <v>1639</v>
      </c>
      <c r="H795" s="6" t="s">
        <v>18</v>
      </c>
      <c r="I795" s="6" t="s">
        <v>50</v>
      </c>
      <c r="J795" s="6" t="s">
        <v>2934</v>
      </c>
      <c r="K795">
        <v>8</v>
      </c>
      <c r="L795" s="6" t="s">
        <v>4283</v>
      </c>
      <c r="M795" s="6" t="s">
        <v>29</v>
      </c>
      <c r="N795">
        <v>851.1</v>
      </c>
    </row>
    <row r="796" spans="1:14" x14ac:dyDescent="0.35">
      <c r="A796" s="6" t="s">
        <v>2935</v>
      </c>
      <c r="B796" s="7">
        <v>44994</v>
      </c>
      <c r="C796" s="6" t="s">
        <v>2936</v>
      </c>
      <c r="D796" s="6" t="s">
        <v>48</v>
      </c>
      <c r="E796">
        <v>4</v>
      </c>
      <c r="F796">
        <v>384.85</v>
      </c>
      <c r="G796" s="6" t="s">
        <v>2937</v>
      </c>
      <c r="H796" s="6" t="s">
        <v>27</v>
      </c>
      <c r="I796" s="6" t="s">
        <v>50</v>
      </c>
      <c r="J796" s="6" t="s">
        <v>2938</v>
      </c>
      <c r="K796">
        <v>9</v>
      </c>
      <c r="L796" s="6" t="s">
        <v>37</v>
      </c>
      <c r="M796" s="6" t="s">
        <v>22</v>
      </c>
      <c r="N796">
        <v>1539.4</v>
      </c>
    </row>
    <row r="797" spans="1:14" x14ac:dyDescent="0.35">
      <c r="A797" s="6" t="s">
        <v>2939</v>
      </c>
      <c r="B797" s="7">
        <v>45616</v>
      </c>
      <c r="C797" s="6" t="s">
        <v>2940</v>
      </c>
      <c r="D797" s="6" t="s">
        <v>58</v>
      </c>
      <c r="E797">
        <v>4</v>
      </c>
      <c r="F797">
        <v>115.77</v>
      </c>
      <c r="G797" s="6" t="s">
        <v>2941</v>
      </c>
      <c r="H797" s="6" t="s">
        <v>27</v>
      </c>
      <c r="I797" s="6" t="s">
        <v>89</v>
      </c>
      <c r="J797" s="6" t="s">
        <v>2942</v>
      </c>
      <c r="K797">
        <v>7</v>
      </c>
      <c r="L797" s="6" t="s">
        <v>21</v>
      </c>
      <c r="M797" s="6" t="s">
        <v>22</v>
      </c>
      <c r="N797">
        <v>463.08</v>
      </c>
    </row>
    <row r="798" spans="1:14" x14ac:dyDescent="0.35">
      <c r="A798" s="6" t="s">
        <v>2943</v>
      </c>
      <c r="B798" s="7">
        <v>45776</v>
      </c>
      <c r="C798" s="6" t="s">
        <v>2944</v>
      </c>
      <c r="D798" s="6" t="s">
        <v>25</v>
      </c>
      <c r="E798">
        <v>3</v>
      </c>
      <c r="F798">
        <v>579.54999999999995</v>
      </c>
      <c r="G798" s="6" t="s">
        <v>884</v>
      </c>
      <c r="H798" s="6" t="s">
        <v>60</v>
      </c>
      <c r="I798" s="6" t="s">
        <v>43</v>
      </c>
      <c r="J798" s="6" t="s">
        <v>2945</v>
      </c>
      <c r="K798">
        <v>8</v>
      </c>
      <c r="L798" s="6" t="s">
        <v>81</v>
      </c>
      <c r="M798" s="6" t="s">
        <v>45</v>
      </c>
      <c r="N798">
        <v>1738.65</v>
      </c>
    </row>
    <row r="799" spans="1:14" x14ac:dyDescent="0.35">
      <c r="A799" s="6" t="s">
        <v>2946</v>
      </c>
      <c r="B799" s="7">
        <v>44984</v>
      </c>
      <c r="C799" s="6" t="s">
        <v>2947</v>
      </c>
      <c r="D799" s="6" t="s">
        <v>58</v>
      </c>
      <c r="E799">
        <v>2</v>
      </c>
      <c r="F799">
        <v>438.76</v>
      </c>
      <c r="G799" s="6" t="s">
        <v>2948</v>
      </c>
      <c r="H799" s="6" t="s">
        <v>18</v>
      </c>
      <c r="I799" s="6" t="s">
        <v>43</v>
      </c>
      <c r="J799" s="6" t="s">
        <v>2949</v>
      </c>
      <c r="K799">
        <v>2</v>
      </c>
      <c r="L799" s="6" t="s">
        <v>4283</v>
      </c>
      <c r="M799" s="6" t="s">
        <v>45</v>
      </c>
      <c r="N799">
        <v>877.52</v>
      </c>
    </row>
    <row r="800" spans="1:14" x14ac:dyDescent="0.35">
      <c r="A800" s="6" t="s">
        <v>2950</v>
      </c>
      <c r="B800" s="7">
        <v>45796</v>
      </c>
      <c r="C800" s="6" t="s">
        <v>2951</v>
      </c>
      <c r="D800" s="6" t="s">
        <v>25</v>
      </c>
      <c r="E800">
        <v>5</v>
      </c>
      <c r="F800">
        <v>488.35</v>
      </c>
      <c r="G800" s="6" t="s">
        <v>1233</v>
      </c>
      <c r="H800" s="6" t="s">
        <v>18</v>
      </c>
      <c r="I800" s="6" t="s">
        <v>43</v>
      </c>
      <c r="J800" s="6" t="s">
        <v>2952</v>
      </c>
      <c r="K800">
        <v>9</v>
      </c>
      <c r="L800" s="6" t="s">
        <v>37</v>
      </c>
      <c r="M800" s="6" t="s">
        <v>38</v>
      </c>
      <c r="N800">
        <v>2441.75</v>
      </c>
    </row>
    <row r="801" spans="1:14" x14ac:dyDescent="0.35">
      <c r="A801" s="6" t="s">
        <v>2953</v>
      </c>
      <c r="B801" s="7">
        <v>45032</v>
      </c>
      <c r="C801" s="6" t="s">
        <v>2954</v>
      </c>
      <c r="D801" s="6" t="s">
        <v>58</v>
      </c>
      <c r="E801">
        <v>4</v>
      </c>
      <c r="F801">
        <v>328.56</v>
      </c>
      <c r="G801" s="6" t="s">
        <v>1070</v>
      </c>
      <c r="H801" s="6" t="s">
        <v>18</v>
      </c>
      <c r="I801" s="6" t="s">
        <v>43</v>
      </c>
      <c r="J801" s="6" t="s">
        <v>2955</v>
      </c>
      <c r="K801">
        <v>4</v>
      </c>
      <c r="L801" s="6" t="s">
        <v>37</v>
      </c>
      <c r="M801" s="6" t="s">
        <v>38</v>
      </c>
      <c r="N801">
        <v>1314.24</v>
      </c>
    </row>
    <row r="802" spans="1:14" x14ac:dyDescent="0.35">
      <c r="A802" s="6" t="s">
        <v>2956</v>
      </c>
      <c r="B802" s="7">
        <v>45744</v>
      </c>
      <c r="C802" s="6" t="s">
        <v>2957</v>
      </c>
      <c r="D802" s="6" t="s">
        <v>32</v>
      </c>
      <c r="E802">
        <v>1</v>
      </c>
      <c r="F802">
        <v>68.39</v>
      </c>
      <c r="G802" s="6" t="s">
        <v>2958</v>
      </c>
      <c r="H802" s="6" t="s">
        <v>27</v>
      </c>
      <c r="I802" s="6" t="s">
        <v>43</v>
      </c>
      <c r="J802" s="6" t="s">
        <v>2959</v>
      </c>
      <c r="K802">
        <v>3</v>
      </c>
      <c r="L802" s="6" t="s">
        <v>81</v>
      </c>
      <c r="M802" s="6" t="s">
        <v>45</v>
      </c>
      <c r="N802">
        <v>68.39</v>
      </c>
    </row>
    <row r="803" spans="1:14" x14ac:dyDescent="0.35">
      <c r="A803" s="6" t="s">
        <v>2960</v>
      </c>
      <c r="B803" s="7">
        <v>45049</v>
      </c>
      <c r="C803" s="6" t="s">
        <v>148</v>
      </c>
      <c r="D803" s="6" t="s">
        <v>48</v>
      </c>
      <c r="E803">
        <v>4</v>
      </c>
      <c r="F803">
        <v>595.62</v>
      </c>
      <c r="G803" s="6" t="s">
        <v>2961</v>
      </c>
      <c r="H803" s="6" t="s">
        <v>18</v>
      </c>
      <c r="I803" s="6" t="s">
        <v>89</v>
      </c>
      <c r="J803" s="6" t="s">
        <v>2962</v>
      </c>
      <c r="K803">
        <v>8</v>
      </c>
      <c r="L803" s="6" t="s">
        <v>37</v>
      </c>
      <c r="M803" s="6" t="s">
        <v>45</v>
      </c>
      <c r="N803">
        <v>2382.48</v>
      </c>
    </row>
    <row r="804" spans="1:14" x14ac:dyDescent="0.35">
      <c r="A804" s="6" t="s">
        <v>2963</v>
      </c>
      <c r="B804" s="7">
        <v>45339</v>
      </c>
      <c r="C804" s="6" t="s">
        <v>2964</v>
      </c>
      <c r="D804" s="6" t="s">
        <v>41</v>
      </c>
      <c r="E804">
        <v>5</v>
      </c>
      <c r="F804">
        <v>644.64</v>
      </c>
      <c r="G804" s="6" t="s">
        <v>2965</v>
      </c>
      <c r="H804" s="6" t="s">
        <v>60</v>
      </c>
      <c r="I804" s="6" t="s">
        <v>35</v>
      </c>
      <c r="J804" s="6" t="s">
        <v>2966</v>
      </c>
      <c r="K804">
        <v>6</v>
      </c>
      <c r="L804" s="6" t="s">
        <v>37</v>
      </c>
      <c r="M804" s="6" t="s">
        <v>38</v>
      </c>
      <c r="N804">
        <v>3223.2</v>
      </c>
    </row>
    <row r="805" spans="1:14" x14ac:dyDescent="0.35">
      <c r="A805" s="6" t="s">
        <v>2967</v>
      </c>
      <c r="B805" s="7">
        <v>45158</v>
      </c>
      <c r="C805" s="6" t="s">
        <v>2968</v>
      </c>
      <c r="D805" s="6" t="s">
        <v>16</v>
      </c>
      <c r="E805">
        <v>5</v>
      </c>
      <c r="F805">
        <v>397.81</v>
      </c>
      <c r="G805" s="6" t="s">
        <v>223</v>
      </c>
      <c r="H805" s="6" t="s">
        <v>18</v>
      </c>
      <c r="I805" s="6" t="s">
        <v>43</v>
      </c>
      <c r="J805" s="6" t="s">
        <v>2969</v>
      </c>
      <c r="K805">
        <v>5</v>
      </c>
      <c r="L805" s="6" t="s">
        <v>21</v>
      </c>
      <c r="M805" s="6" t="s">
        <v>29</v>
      </c>
      <c r="N805">
        <v>1989.05</v>
      </c>
    </row>
    <row r="806" spans="1:14" x14ac:dyDescent="0.35">
      <c r="A806" s="6" t="s">
        <v>2970</v>
      </c>
      <c r="B806" s="7">
        <v>45292</v>
      </c>
      <c r="C806" s="6" t="s">
        <v>2971</v>
      </c>
      <c r="D806" s="6" t="s">
        <v>41</v>
      </c>
      <c r="E806">
        <v>3</v>
      </c>
      <c r="F806">
        <v>236.5</v>
      </c>
      <c r="G806" s="6" t="s">
        <v>2972</v>
      </c>
      <c r="H806" s="6" t="s">
        <v>27</v>
      </c>
      <c r="I806" s="6" t="s">
        <v>50</v>
      </c>
      <c r="J806" s="6" t="s">
        <v>2973</v>
      </c>
      <c r="K806">
        <v>8</v>
      </c>
      <c r="L806" s="6" t="s">
        <v>37</v>
      </c>
      <c r="M806" s="6" t="s">
        <v>38</v>
      </c>
      <c r="N806">
        <v>709.5</v>
      </c>
    </row>
    <row r="807" spans="1:14" x14ac:dyDescent="0.35">
      <c r="A807" s="6" t="s">
        <v>2974</v>
      </c>
      <c r="B807" s="7">
        <v>45580</v>
      </c>
      <c r="C807" s="6" t="s">
        <v>2975</v>
      </c>
      <c r="D807" s="6" t="s">
        <v>58</v>
      </c>
      <c r="E807">
        <v>5</v>
      </c>
      <c r="F807">
        <v>472.01</v>
      </c>
      <c r="G807" s="6" t="s">
        <v>2976</v>
      </c>
      <c r="H807" s="6" t="s">
        <v>60</v>
      </c>
      <c r="I807" s="6" t="s">
        <v>35</v>
      </c>
      <c r="J807" s="6" t="s">
        <v>2977</v>
      </c>
      <c r="K807">
        <v>10</v>
      </c>
      <c r="L807" s="6" t="s">
        <v>21</v>
      </c>
      <c r="M807" s="6" t="s">
        <v>38</v>
      </c>
      <c r="N807">
        <v>2360.0500000000002</v>
      </c>
    </row>
    <row r="808" spans="1:14" x14ac:dyDescent="0.35">
      <c r="A808" s="6" t="s">
        <v>2978</v>
      </c>
      <c r="B808" s="7">
        <v>45170</v>
      </c>
      <c r="C808" s="6" t="s">
        <v>2979</v>
      </c>
      <c r="D808" s="6" t="s">
        <v>41</v>
      </c>
      <c r="E808">
        <v>5</v>
      </c>
      <c r="F808">
        <v>253.75</v>
      </c>
      <c r="G808" s="6" t="s">
        <v>1121</v>
      </c>
      <c r="H808" s="6" t="s">
        <v>27</v>
      </c>
      <c r="I808" s="6" t="s">
        <v>89</v>
      </c>
      <c r="J808" s="6" t="s">
        <v>2980</v>
      </c>
      <c r="K808">
        <v>9</v>
      </c>
      <c r="L808" s="6" t="s">
        <v>81</v>
      </c>
      <c r="M808" s="6" t="s">
        <v>22</v>
      </c>
      <c r="N808">
        <v>1268.75</v>
      </c>
    </row>
    <row r="809" spans="1:14" x14ac:dyDescent="0.35">
      <c r="A809" s="6" t="s">
        <v>2981</v>
      </c>
      <c r="B809" s="7">
        <v>45606</v>
      </c>
      <c r="C809" s="6" t="s">
        <v>2982</v>
      </c>
      <c r="D809" s="6" t="s">
        <v>16</v>
      </c>
      <c r="E809">
        <v>3</v>
      </c>
      <c r="F809">
        <v>676.21</v>
      </c>
      <c r="G809" s="6" t="s">
        <v>2983</v>
      </c>
      <c r="H809" s="6" t="s">
        <v>27</v>
      </c>
      <c r="I809" s="6" t="s">
        <v>50</v>
      </c>
      <c r="J809" s="6" t="s">
        <v>2984</v>
      </c>
      <c r="K809">
        <v>5</v>
      </c>
      <c r="L809" s="6" t="s">
        <v>21</v>
      </c>
      <c r="M809" s="6" t="s">
        <v>76</v>
      </c>
      <c r="N809">
        <v>2028.63</v>
      </c>
    </row>
    <row r="810" spans="1:14" x14ac:dyDescent="0.35">
      <c r="A810" s="6" t="s">
        <v>2985</v>
      </c>
      <c r="B810" s="7">
        <v>45335</v>
      </c>
      <c r="C810" s="6" t="s">
        <v>2986</v>
      </c>
      <c r="D810" s="6" t="s">
        <v>73</v>
      </c>
      <c r="E810">
        <v>3</v>
      </c>
      <c r="F810">
        <v>134.05000000000001</v>
      </c>
      <c r="G810" s="6" t="s">
        <v>2987</v>
      </c>
      <c r="H810" s="6" t="s">
        <v>34</v>
      </c>
      <c r="I810" s="6" t="s">
        <v>19</v>
      </c>
      <c r="J810" s="6" t="s">
        <v>2988</v>
      </c>
      <c r="K810">
        <v>3</v>
      </c>
      <c r="L810" s="6" t="s">
        <v>4283</v>
      </c>
      <c r="M810" s="6" t="s">
        <v>76</v>
      </c>
      <c r="N810">
        <v>402.15</v>
      </c>
    </row>
    <row r="811" spans="1:14" x14ac:dyDescent="0.35">
      <c r="A811" s="6" t="s">
        <v>2989</v>
      </c>
      <c r="B811" s="7">
        <v>45391</v>
      </c>
      <c r="C811" s="6" t="s">
        <v>2990</v>
      </c>
      <c r="D811" s="6" t="s">
        <v>73</v>
      </c>
      <c r="E811">
        <v>5</v>
      </c>
      <c r="F811">
        <v>217.43</v>
      </c>
      <c r="G811" s="6" t="s">
        <v>293</v>
      </c>
      <c r="H811" s="6" t="s">
        <v>18</v>
      </c>
      <c r="I811" s="6" t="s">
        <v>19</v>
      </c>
      <c r="J811" s="6" t="s">
        <v>2991</v>
      </c>
      <c r="K811">
        <v>10</v>
      </c>
      <c r="L811" s="6" t="s">
        <v>21</v>
      </c>
      <c r="M811" s="6" t="s">
        <v>22</v>
      </c>
      <c r="N811">
        <v>1087.1500000000001</v>
      </c>
    </row>
    <row r="812" spans="1:14" x14ac:dyDescent="0.35">
      <c r="A812" s="6" t="s">
        <v>2992</v>
      </c>
      <c r="B812" s="7">
        <v>45077</v>
      </c>
      <c r="C812" s="6" t="s">
        <v>2993</v>
      </c>
      <c r="D812" s="6" t="s">
        <v>32</v>
      </c>
      <c r="E812">
        <v>1</v>
      </c>
      <c r="F812">
        <v>553.55999999999995</v>
      </c>
      <c r="G812" s="6" t="s">
        <v>2994</v>
      </c>
      <c r="H812" s="6" t="s">
        <v>34</v>
      </c>
      <c r="I812" s="6" t="s">
        <v>35</v>
      </c>
      <c r="J812" s="6" t="s">
        <v>2995</v>
      </c>
      <c r="K812">
        <v>5</v>
      </c>
      <c r="L812" s="6" t="s">
        <v>4283</v>
      </c>
      <c r="M812" s="6" t="s">
        <v>29</v>
      </c>
      <c r="N812">
        <v>553.55999999999995</v>
      </c>
    </row>
    <row r="813" spans="1:14" x14ac:dyDescent="0.35">
      <c r="A813" s="6" t="s">
        <v>2996</v>
      </c>
      <c r="B813" s="7">
        <v>45235</v>
      </c>
      <c r="C813" s="6" t="s">
        <v>2997</v>
      </c>
      <c r="D813" s="6" t="s">
        <v>58</v>
      </c>
      <c r="E813">
        <v>2</v>
      </c>
      <c r="F813">
        <v>28.55</v>
      </c>
      <c r="G813" s="6" t="s">
        <v>2794</v>
      </c>
      <c r="H813" s="6" t="s">
        <v>60</v>
      </c>
      <c r="I813" s="6" t="s">
        <v>19</v>
      </c>
      <c r="J813" s="6" t="s">
        <v>2998</v>
      </c>
      <c r="K813">
        <v>7</v>
      </c>
      <c r="L813" s="6" t="s">
        <v>21</v>
      </c>
      <c r="M813" s="6" t="s">
        <v>38</v>
      </c>
      <c r="N813">
        <v>57.1</v>
      </c>
    </row>
    <row r="814" spans="1:14" x14ac:dyDescent="0.35">
      <c r="A814" s="6" t="s">
        <v>2999</v>
      </c>
      <c r="B814" s="7">
        <v>45317</v>
      </c>
      <c r="C814" s="6" t="s">
        <v>3000</v>
      </c>
      <c r="D814" s="6" t="s">
        <v>25</v>
      </c>
      <c r="E814">
        <v>2</v>
      </c>
      <c r="F814">
        <v>255.26</v>
      </c>
      <c r="G814" s="6" t="s">
        <v>1070</v>
      </c>
      <c r="H814" s="6" t="s">
        <v>34</v>
      </c>
      <c r="I814" s="6" t="s">
        <v>35</v>
      </c>
      <c r="J814" s="6" t="s">
        <v>3001</v>
      </c>
      <c r="K814">
        <v>6</v>
      </c>
      <c r="L814" s="6" t="s">
        <v>37</v>
      </c>
      <c r="M814" s="6" t="s">
        <v>76</v>
      </c>
      <c r="N814">
        <v>510.52</v>
      </c>
    </row>
    <row r="815" spans="1:14" x14ac:dyDescent="0.35">
      <c r="A815" s="6" t="s">
        <v>3002</v>
      </c>
      <c r="B815" s="7">
        <v>45731</v>
      </c>
      <c r="C815" s="6" t="s">
        <v>3003</v>
      </c>
      <c r="D815" s="6" t="s">
        <v>58</v>
      </c>
      <c r="E815">
        <v>5</v>
      </c>
      <c r="F815">
        <v>292.54000000000002</v>
      </c>
      <c r="G815" s="6" t="s">
        <v>1117</v>
      </c>
      <c r="H815" s="6" t="s">
        <v>18</v>
      </c>
      <c r="I815" s="6" t="s">
        <v>35</v>
      </c>
      <c r="J815" s="6" t="s">
        <v>3004</v>
      </c>
      <c r="K815">
        <v>8</v>
      </c>
      <c r="L815" s="6" t="s">
        <v>37</v>
      </c>
      <c r="M815" s="6" t="s">
        <v>38</v>
      </c>
      <c r="N815">
        <v>1462.7</v>
      </c>
    </row>
    <row r="816" spans="1:14" x14ac:dyDescent="0.35">
      <c r="A816" s="6" t="s">
        <v>3005</v>
      </c>
      <c r="B816" s="7">
        <v>45637</v>
      </c>
      <c r="C816" s="6" t="s">
        <v>3006</v>
      </c>
      <c r="D816" s="6" t="s">
        <v>41</v>
      </c>
      <c r="E816">
        <v>4</v>
      </c>
      <c r="F816">
        <v>147.51</v>
      </c>
      <c r="G816" s="6" t="s">
        <v>3007</v>
      </c>
      <c r="H816" s="6" t="s">
        <v>18</v>
      </c>
      <c r="I816" s="6" t="s">
        <v>89</v>
      </c>
      <c r="J816" s="6" t="s">
        <v>3008</v>
      </c>
      <c r="K816">
        <v>4</v>
      </c>
      <c r="L816" s="6" t="s">
        <v>81</v>
      </c>
      <c r="M816" s="6" t="s">
        <v>22</v>
      </c>
      <c r="N816">
        <v>590.04</v>
      </c>
    </row>
    <row r="817" spans="1:14" x14ac:dyDescent="0.35">
      <c r="A817" s="6" t="s">
        <v>3009</v>
      </c>
      <c r="B817" s="7">
        <v>45508</v>
      </c>
      <c r="C817" s="6" t="s">
        <v>3010</v>
      </c>
      <c r="D817" s="6" t="s">
        <v>48</v>
      </c>
      <c r="E817">
        <v>3</v>
      </c>
      <c r="F817">
        <v>569.84</v>
      </c>
      <c r="G817" s="6" t="s">
        <v>3011</v>
      </c>
      <c r="H817" s="6" t="s">
        <v>60</v>
      </c>
      <c r="I817" s="6" t="s">
        <v>35</v>
      </c>
      <c r="J817" s="6" t="s">
        <v>3012</v>
      </c>
      <c r="K817">
        <v>8</v>
      </c>
      <c r="L817" s="6" t="s">
        <v>81</v>
      </c>
      <c r="M817" s="6" t="s">
        <v>22</v>
      </c>
      <c r="N817">
        <v>1709.52</v>
      </c>
    </row>
    <row r="818" spans="1:14" x14ac:dyDescent="0.35">
      <c r="A818" s="6" t="s">
        <v>3013</v>
      </c>
      <c r="B818" s="7">
        <v>45343</v>
      </c>
      <c r="C818" s="6" t="s">
        <v>3014</v>
      </c>
      <c r="D818" s="6" t="s">
        <v>32</v>
      </c>
      <c r="E818">
        <v>5</v>
      </c>
      <c r="F818">
        <v>574.79</v>
      </c>
      <c r="G818" s="6" t="s">
        <v>892</v>
      </c>
      <c r="H818" s="6" t="s">
        <v>34</v>
      </c>
      <c r="I818" s="6" t="s">
        <v>89</v>
      </c>
      <c r="J818" s="6" t="s">
        <v>3015</v>
      </c>
      <c r="K818">
        <v>8</v>
      </c>
      <c r="L818" s="6" t="s">
        <v>81</v>
      </c>
      <c r="M818" s="6" t="s">
        <v>29</v>
      </c>
      <c r="N818">
        <v>2873.95</v>
      </c>
    </row>
    <row r="819" spans="1:14" x14ac:dyDescent="0.35">
      <c r="A819" s="6" t="s">
        <v>3016</v>
      </c>
      <c r="B819" s="7">
        <v>45204</v>
      </c>
      <c r="C819" s="6" t="s">
        <v>3017</v>
      </c>
      <c r="D819" s="6" t="s">
        <v>41</v>
      </c>
      <c r="E819">
        <v>4</v>
      </c>
      <c r="F819">
        <v>598.19000000000005</v>
      </c>
      <c r="G819" s="6" t="s">
        <v>3018</v>
      </c>
      <c r="H819" s="6" t="s">
        <v>34</v>
      </c>
      <c r="I819" s="6" t="s">
        <v>50</v>
      </c>
      <c r="J819" s="6" t="s">
        <v>3019</v>
      </c>
      <c r="K819">
        <v>7</v>
      </c>
      <c r="L819" s="6" t="s">
        <v>81</v>
      </c>
      <c r="M819" s="6" t="s">
        <v>38</v>
      </c>
      <c r="N819">
        <v>2392.7600000000002</v>
      </c>
    </row>
    <row r="820" spans="1:14" x14ac:dyDescent="0.35">
      <c r="A820" s="6" t="s">
        <v>3020</v>
      </c>
      <c r="B820" s="7">
        <v>44987</v>
      </c>
      <c r="C820" s="6" t="s">
        <v>3021</v>
      </c>
      <c r="D820" s="6" t="s">
        <v>25</v>
      </c>
      <c r="E820">
        <v>4</v>
      </c>
      <c r="F820">
        <v>390.84</v>
      </c>
      <c r="G820" s="6" t="s">
        <v>2519</v>
      </c>
      <c r="H820" s="6" t="s">
        <v>34</v>
      </c>
      <c r="I820" s="6" t="s">
        <v>35</v>
      </c>
      <c r="J820" s="6" t="s">
        <v>3022</v>
      </c>
      <c r="K820">
        <v>9</v>
      </c>
      <c r="L820" s="6" t="s">
        <v>81</v>
      </c>
      <c r="M820" s="6" t="s">
        <v>29</v>
      </c>
      <c r="N820">
        <v>1563.36</v>
      </c>
    </row>
    <row r="821" spans="1:14" x14ac:dyDescent="0.35">
      <c r="A821" s="6" t="s">
        <v>3023</v>
      </c>
      <c r="B821" s="7">
        <v>45563</v>
      </c>
      <c r="C821" s="6" t="s">
        <v>3024</v>
      </c>
      <c r="D821" s="6" t="s">
        <v>25</v>
      </c>
      <c r="E821">
        <v>2</v>
      </c>
      <c r="F821">
        <v>398.45</v>
      </c>
      <c r="G821" s="6" t="s">
        <v>3025</v>
      </c>
      <c r="H821" s="6" t="s">
        <v>18</v>
      </c>
      <c r="I821" s="6" t="s">
        <v>35</v>
      </c>
      <c r="J821" s="6" t="s">
        <v>3026</v>
      </c>
      <c r="K821">
        <v>7</v>
      </c>
      <c r="L821" s="6" t="s">
        <v>21</v>
      </c>
      <c r="M821" s="6" t="s">
        <v>76</v>
      </c>
      <c r="N821">
        <v>796.9</v>
      </c>
    </row>
    <row r="822" spans="1:14" x14ac:dyDescent="0.35">
      <c r="A822" s="6" t="s">
        <v>3027</v>
      </c>
      <c r="B822" s="7">
        <v>45073</v>
      </c>
      <c r="C822" s="6" t="s">
        <v>3028</v>
      </c>
      <c r="D822" s="6" t="s">
        <v>25</v>
      </c>
      <c r="E822">
        <v>5</v>
      </c>
      <c r="F822">
        <v>623.80999999999995</v>
      </c>
      <c r="G822" s="6" t="s">
        <v>1396</v>
      </c>
      <c r="H822" s="6" t="s">
        <v>65</v>
      </c>
      <c r="I822" s="6" t="s">
        <v>43</v>
      </c>
      <c r="J822" s="6" t="s">
        <v>3029</v>
      </c>
      <c r="K822">
        <v>6</v>
      </c>
      <c r="L822" s="6" t="s">
        <v>37</v>
      </c>
      <c r="M822" s="6" t="s">
        <v>38</v>
      </c>
      <c r="N822">
        <v>3119.05</v>
      </c>
    </row>
    <row r="823" spans="1:14" x14ac:dyDescent="0.35">
      <c r="A823" s="6" t="s">
        <v>3030</v>
      </c>
      <c r="B823" s="7">
        <v>45640</v>
      </c>
      <c r="C823" s="6" t="s">
        <v>3031</v>
      </c>
      <c r="D823" s="6" t="s">
        <v>58</v>
      </c>
      <c r="E823">
        <v>4</v>
      </c>
      <c r="F823">
        <v>174.49</v>
      </c>
      <c r="G823" s="6" t="s">
        <v>1364</v>
      </c>
      <c r="H823" s="6" t="s">
        <v>34</v>
      </c>
      <c r="I823" s="6" t="s">
        <v>50</v>
      </c>
      <c r="J823" s="6" t="s">
        <v>3032</v>
      </c>
      <c r="K823">
        <v>5</v>
      </c>
      <c r="L823" s="6" t="s">
        <v>21</v>
      </c>
      <c r="M823" s="6" t="s">
        <v>45</v>
      </c>
      <c r="N823">
        <v>697.96</v>
      </c>
    </row>
    <row r="824" spans="1:14" x14ac:dyDescent="0.35">
      <c r="A824" s="6" t="s">
        <v>3033</v>
      </c>
      <c r="B824" s="7">
        <v>45731</v>
      </c>
      <c r="C824" s="6" t="s">
        <v>3034</v>
      </c>
      <c r="D824" s="6" t="s">
        <v>25</v>
      </c>
      <c r="E824">
        <v>1</v>
      </c>
      <c r="F824">
        <v>479.56</v>
      </c>
      <c r="G824" s="6" t="s">
        <v>320</v>
      </c>
      <c r="H824" s="6" t="s">
        <v>60</v>
      </c>
      <c r="I824" s="6" t="s">
        <v>43</v>
      </c>
      <c r="J824" s="6" t="s">
        <v>3035</v>
      </c>
      <c r="K824">
        <v>1</v>
      </c>
      <c r="L824" s="6" t="s">
        <v>21</v>
      </c>
      <c r="M824" s="6" t="s">
        <v>76</v>
      </c>
      <c r="N824">
        <v>479.56</v>
      </c>
    </row>
    <row r="825" spans="1:14" x14ac:dyDescent="0.35">
      <c r="A825" s="6" t="s">
        <v>3036</v>
      </c>
      <c r="B825" s="7">
        <v>45572</v>
      </c>
      <c r="C825" s="6" t="s">
        <v>3037</v>
      </c>
      <c r="D825" s="6" t="s">
        <v>58</v>
      </c>
      <c r="E825">
        <v>4</v>
      </c>
      <c r="F825">
        <v>653.13</v>
      </c>
      <c r="G825" s="6" t="s">
        <v>3038</v>
      </c>
      <c r="H825" s="6" t="s">
        <v>34</v>
      </c>
      <c r="I825" s="6" t="s">
        <v>19</v>
      </c>
      <c r="J825" s="6" t="s">
        <v>3039</v>
      </c>
      <c r="K825">
        <v>8</v>
      </c>
      <c r="L825" s="6" t="s">
        <v>81</v>
      </c>
      <c r="M825" s="6" t="s">
        <v>22</v>
      </c>
      <c r="N825">
        <v>2612.52</v>
      </c>
    </row>
    <row r="826" spans="1:14" x14ac:dyDescent="0.35">
      <c r="A826" s="6" t="s">
        <v>3040</v>
      </c>
      <c r="B826" s="7">
        <v>45167</v>
      </c>
      <c r="C826" s="6" t="s">
        <v>3041</v>
      </c>
      <c r="D826" s="6" t="s">
        <v>16</v>
      </c>
      <c r="E826">
        <v>3</v>
      </c>
      <c r="F826">
        <v>481.1</v>
      </c>
      <c r="G826" s="6" t="s">
        <v>3042</v>
      </c>
      <c r="H826" s="6" t="s">
        <v>34</v>
      </c>
      <c r="I826" s="6" t="s">
        <v>43</v>
      </c>
      <c r="J826" s="6" t="s">
        <v>3043</v>
      </c>
      <c r="K826">
        <v>3</v>
      </c>
      <c r="L826" s="6" t="s">
        <v>37</v>
      </c>
      <c r="M826" s="6" t="s">
        <v>45</v>
      </c>
      <c r="N826">
        <v>1443.3</v>
      </c>
    </row>
    <row r="827" spans="1:14" x14ac:dyDescent="0.35">
      <c r="A827" s="6" t="s">
        <v>3044</v>
      </c>
      <c r="B827" s="7">
        <v>45742</v>
      </c>
      <c r="C827" s="6" t="s">
        <v>3045</v>
      </c>
      <c r="D827" s="6" t="s">
        <v>73</v>
      </c>
      <c r="E827">
        <v>5</v>
      </c>
      <c r="F827">
        <v>271.69</v>
      </c>
      <c r="G827" s="6" t="s">
        <v>3046</v>
      </c>
      <c r="H827" s="6" t="s">
        <v>27</v>
      </c>
      <c r="I827" s="6" t="s">
        <v>43</v>
      </c>
      <c r="J827" s="6" t="s">
        <v>3047</v>
      </c>
      <c r="K827">
        <v>7</v>
      </c>
      <c r="L827" s="6" t="s">
        <v>37</v>
      </c>
      <c r="M827" s="6" t="s">
        <v>22</v>
      </c>
      <c r="N827">
        <v>1358.45</v>
      </c>
    </row>
    <row r="828" spans="1:14" x14ac:dyDescent="0.35">
      <c r="A828" s="6" t="s">
        <v>3048</v>
      </c>
      <c r="B828" s="7">
        <v>45724</v>
      </c>
      <c r="C828" s="6" t="s">
        <v>3049</v>
      </c>
      <c r="D828" s="6" t="s">
        <v>48</v>
      </c>
      <c r="E828">
        <v>3</v>
      </c>
      <c r="F828">
        <v>463.81</v>
      </c>
      <c r="G828" s="6" t="s">
        <v>735</v>
      </c>
      <c r="H828" s="6" t="s">
        <v>27</v>
      </c>
      <c r="I828" s="6" t="s">
        <v>43</v>
      </c>
      <c r="J828" s="6" t="s">
        <v>3050</v>
      </c>
      <c r="K828">
        <v>8</v>
      </c>
      <c r="L828" s="6" t="s">
        <v>81</v>
      </c>
      <c r="M828" s="6" t="s">
        <v>38</v>
      </c>
      <c r="N828">
        <v>1391.43</v>
      </c>
    </row>
    <row r="829" spans="1:14" x14ac:dyDescent="0.35">
      <c r="A829" s="6" t="s">
        <v>3051</v>
      </c>
      <c r="B829" s="7">
        <v>45071</v>
      </c>
      <c r="C829" s="6" t="s">
        <v>3052</v>
      </c>
      <c r="D829" s="6" t="s">
        <v>32</v>
      </c>
      <c r="E829">
        <v>2</v>
      </c>
      <c r="F829">
        <v>639.88</v>
      </c>
      <c r="G829" s="6" t="s">
        <v>873</v>
      </c>
      <c r="H829" s="6" t="s">
        <v>65</v>
      </c>
      <c r="I829" s="6" t="s">
        <v>50</v>
      </c>
      <c r="J829" s="6" t="s">
        <v>3053</v>
      </c>
      <c r="K829">
        <v>5</v>
      </c>
      <c r="L829" s="6" t="s">
        <v>81</v>
      </c>
      <c r="M829" s="6" t="s">
        <v>22</v>
      </c>
      <c r="N829">
        <v>1279.76</v>
      </c>
    </row>
    <row r="830" spans="1:14" x14ac:dyDescent="0.35">
      <c r="A830" s="6" t="s">
        <v>3054</v>
      </c>
      <c r="B830" s="7">
        <v>45497</v>
      </c>
      <c r="C830" s="6" t="s">
        <v>3055</v>
      </c>
      <c r="D830" s="6" t="s">
        <v>41</v>
      </c>
      <c r="E830">
        <v>4</v>
      </c>
      <c r="F830">
        <v>404.58</v>
      </c>
      <c r="G830" s="6" t="s">
        <v>3056</v>
      </c>
      <c r="H830" s="6" t="s">
        <v>65</v>
      </c>
      <c r="I830" s="6" t="s">
        <v>19</v>
      </c>
      <c r="J830" s="6" t="s">
        <v>3057</v>
      </c>
      <c r="K830">
        <v>5</v>
      </c>
      <c r="L830" s="6" t="s">
        <v>37</v>
      </c>
      <c r="M830" s="6" t="s">
        <v>22</v>
      </c>
      <c r="N830">
        <v>1618.32</v>
      </c>
    </row>
    <row r="831" spans="1:14" x14ac:dyDescent="0.35">
      <c r="A831" s="6" t="s">
        <v>3058</v>
      </c>
      <c r="B831" s="7">
        <v>44962</v>
      </c>
      <c r="C831" s="6" t="s">
        <v>3059</v>
      </c>
      <c r="D831" s="6" t="s">
        <v>16</v>
      </c>
      <c r="E831">
        <v>1</v>
      </c>
      <c r="F831">
        <v>76.930000000000007</v>
      </c>
      <c r="G831" s="6" t="s">
        <v>3060</v>
      </c>
      <c r="H831" s="6" t="s">
        <v>18</v>
      </c>
      <c r="I831" s="6" t="s">
        <v>50</v>
      </c>
      <c r="J831" s="6" t="s">
        <v>3061</v>
      </c>
      <c r="K831">
        <v>6</v>
      </c>
      <c r="L831" s="6" t="s">
        <v>81</v>
      </c>
      <c r="M831" s="6" t="s">
        <v>22</v>
      </c>
      <c r="N831">
        <v>76.930000000000007</v>
      </c>
    </row>
    <row r="832" spans="1:14" x14ac:dyDescent="0.35">
      <c r="A832" s="6" t="s">
        <v>3062</v>
      </c>
      <c r="B832" s="7">
        <v>45637</v>
      </c>
      <c r="C832" s="6" t="s">
        <v>3063</v>
      </c>
      <c r="D832" s="6" t="s">
        <v>32</v>
      </c>
      <c r="E832">
        <v>4</v>
      </c>
      <c r="F832">
        <v>190.64</v>
      </c>
      <c r="G832" s="6" t="s">
        <v>3064</v>
      </c>
      <c r="H832" s="6" t="s">
        <v>65</v>
      </c>
      <c r="I832" s="6" t="s">
        <v>50</v>
      </c>
      <c r="J832" s="6" t="s">
        <v>3065</v>
      </c>
      <c r="K832">
        <v>5</v>
      </c>
      <c r="L832" s="6" t="s">
        <v>21</v>
      </c>
      <c r="M832" s="6" t="s">
        <v>38</v>
      </c>
      <c r="N832">
        <v>762.56</v>
      </c>
    </row>
    <row r="833" spans="1:14" x14ac:dyDescent="0.35">
      <c r="A833" s="6" t="s">
        <v>3066</v>
      </c>
      <c r="B833" s="7">
        <v>45278</v>
      </c>
      <c r="C833" s="6" t="s">
        <v>3067</v>
      </c>
      <c r="D833" s="6" t="s">
        <v>48</v>
      </c>
      <c r="E833">
        <v>2</v>
      </c>
      <c r="F833">
        <v>88.73</v>
      </c>
      <c r="G833" s="6" t="s">
        <v>2371</v>
      </c>
      <c r="H833" s="6" t="s">
        <v>27</v>
      </c>
      <c r="I833" s="6" t="s">
        <v>89</v>
      </c>
      <c r="J833" s="6" t="s">
        <v>3068</v>
      </c>
      <c r="K833">
        <v>5</v>
      </c>
      <c r="L833" s="6" t="s">
        <v>4283</v>
      </c>
      <c r="M833" s="6" t="s">
        <v>76</v>
      </c>
      <c r="N833">
        <v>177.46</v>
      </c>
    </row>
    <row r="834" spans="1:14" x14ac:dyDescent="0.35">
      <c r="A834" s="6" t="s">
        <v>3069</v>
      </c>
      <c r="B834" s="7">
        <v>45363</v>
      </c>
      <c r="C834" s="6" t="s">
        <v>3070</v>
      </c>
      <c r="D834" s="6" t="s">
        <v>41</v>
      </c>
      <c r="E834">
        <v>5</v>
      </c>
      <c r="F834">
        <v>485.71</v>
      </c>
      <c r="G834" s="6" t="s">
        <v>93</v>
      </c>
      <c r="H834" s="6" t="s">
        <v>27</v>
      </c>
      <c r="I834" s="6" t="s">
        <v>89</v>
      </c>
      <c r="J834" s="6" t="s">
        <v>3071</v>
      </c>
      <c r="K834">
        <v>10</v>
      </c>
      <c r="L834" s="6" t="s">
        <v>21</v>
      </c>
      <c r="M834" s="6" t="s">
        <v>29</v>
      </c>
      <c r="N834">
        <v>2428.5500000000002</v>
      </c>
    </row>
    <row r="835" spans="1:14" x14ac:dyDescent="0.35">
      <c r="A835" s="6" t="s">
        <v>3072</v>
      </c>
      <c r="B835" s="7">
        <v>45730</v>
      </c>
      <c r="C835" s="6" t="s">
        <v>3073</v>
      </c>
      <c r="D835" s="6" t="s">
        <v>25</v>
      </c>
      <c r="E835">
        <v>5</v>
      </c>
      <c r="F835">
        <v>78.290000000000006</v>
      </c>
      <c r="G835" s="6" t="s">
        <v>3074</v>
      </c>
      <c r="H835" s="6" t="s">
        <v>34</v>
      </c>
      <c r="I835" s="6" t="s">
        <v>19</v>
      </c>
      <c r="J835" s="6" t="s">
        <v>3075</v>
      </c>
      <c r="K835">
        <v>5</v>
      </c>
      <c r="L835" s="6" t="s">
        <v>81</v>
      </c>
      <c r="M835" s="6" t="s">
        <v>29</v>
      </c>
      <c r="N835">
        <v>391.45</v>
      </c>
    </row>
    <row r="836" spans="1:14" x14ac:dyDescent="0.35">
      <c r="A836" s="6" t="s">
        <v>3076</v>
      </c>
      <c r="B836" s="7">
        <v>45393</v>
      </c>
      <c r="C836" s="6" t="s">
        <v>3077</v>
      </c>
      <c r="D836" s="6" t="s">
        <v>48</v>
      </c>
      <c r="E836">
        <v>5</v>
      </c>
      <c r="F836">
        <v>22.14</v>
      </c>
      <c r="G836" s="6" t="s">
        <v>964</v>
      </c>
      <c r="H836" s="6" t="s">
        <v>65</v>
      </c>
      <c r="I836" s="6" t="s">
        <v>43</v>
      </c>
      <c r="J836" s="6" t="s">
        <v>3078</v>
      </c>
      <c r="K836">
        <v>10</v>
      </c>
      <c r="L836" s="6" t="s">
        <v>4283</v>
      </c>
      <c r="M836" s="6" t="s">
        <v>22</v>
      </c>
      <c r="N836">
        <v>110.7</v>
      </c>
    </row>
    <row r="837" spans="1:14" x14ac:dyDescent="0.35">
      <c r="A837" s="6" t="s">
        <v>3079</v>
      </c>
      <c r="B837" s="7">
        <v>45377</v>
      </c>
      <c r="C837" s="6" t="s">
        <v>3080</v>
      </c>
      <c r="D837" s="6" t="s">
        <v>73</v>
      </c>
      <c r="E837">
        <v>1</v>
      </c>
      <c r="F837">
        <v>679.65</v>
      </c>
      <c r="G837" s="6" t="s">
        <v>3081</v>
      </c>
      <c r="H837" s="6" t="s">
        <v>18</v>
      </c>
      <c r="I837" s="6" t="s">
        <v>19</v>
      </c>
      <c r="J837" s="6" t="s">
        <v>3082</v>
      </c>
      <c r="K837">
        <v>6</v>
      </c>
      <c r="L837" s="6" t="s">
        <v>37</v>
      </c>
      <c r="M837" s="6" t="s">
        <v>76</v>
      </c>
      <c r="N837">
        <v>679.65</v>
      </c>
    </row>
    <row r="838" spans="1:14" x14ac:dyDescent="0.35">
      <c r="A838" s="6" t="s">
        <v>3083</v>
      </c>
      <c r="B838" s="7">
        <v>44959</v>
      </c>
      <c r="C838" s="6" t="s">
        <v>3084</v>
      </c>
      <c r="D838" s="6" t="s">
        <v>25</v>
      </c>
      <c r="E838">
        <v>1</v>
      </c>
      <c r="F838">
        <v>178.44</v>
      </c>
      <c r="G838" s="6" t="s">
        <v>2446</v>
      </c>
      <c r="H838" s="6" t="s">
        <v>34</v>
      </c>
      <c r="I838" s="6" t="s">
        <v>35</v>
      </c>
      <c r="J838" s="6" t="s">
        <v>3085</v>
      </c>
      <c r="K838">
        <v>2</v>
      </c>
      <c r="L838" s="6" t="s">
        <v>37</v>
      </c>
      <c r="M838" s="6" t="s">
        <v>76</v>
      </c>
      <c r="N838">
        <v>178.44</v>
      </c>
    </row>
    <row r="839" spans="1:14" x14ac:dyDescent="0.35">
      <c r="A839" s="6" t="s">
        <v>3086</v>
      </c>
      <c r="B839" s="7">
        <v>45822</v>
      </c>
      <c r="C839" s="6" t="s">
        <v>3087</v>
      </c>
      <c r="D839" s="6" t="s">
        <v>41</v>
      </c>
      <c r="E839">
        <v>5</v>
      </c>
      <c r="F839">
        <v>655.55</v>
      </c>
      <c r="G839" s="6" t="s">
        <v>2290</v>
      </c>
      <c r="H839" s="6" t="s">
        <v>27</v>
      </c>
      <c r="I839" s="6" t="s">
        <v>50</v>
      </c>
      <c r="J839" s="6" t="s">
        <v>3088</v>
      </c>
      <c r="K839">
        <v>5</v>
      </c>
      <c r="L839" s="6" t="s">
        <v>4283</v>
      </c>
      <c r="M839" s="6" t="s">
        <v>38</v>
      </c>
      <c r="N839">
        <v>3277.75</v>
      </c>
    </row>
    <row r="840" spans="1:14" x14ac:dyDescent="0.35">
      <c r="A840" s="6" t="s">
        <v>3089</v>
      </c>
      <c r="B840" s="7">
        <v>45393</v>
      </c>
      <c r="C840" s="6" t="s">
        <v>3090</v>
      </c>
      <c r="D840" s="6" t="s">
        <v>73</v>
      </c>
      <c r="E840">
        <v>4</v>
      </c>
      <c r="F840">
        <v>577.08000000000004</v>
      </c>
      <c r="G840" s="6" t="s">
        <v>316</v>
      </c>
      <c r="H840" s="6" t="s">
        <v>27</v>
      </c>
      <c r="I840" s="6" t="s">
        <v>89</v>
      </c>
      <c r="J840" s="6" t="s">
        <v>3091</v>
      </c>
      <c r="K840">
        <v>8</v>
      </c>
      <c r="L840" s="6" t="s">
        <v>4283</v>
      </c>
      <c r="M840" s="6" t="s">
        <v>45</v>
      </c>
      <c r="N840">
        <v>2308.3200000000002</v>
      </c>
    </row>
    <row r="841" spans="1:14" x14ac:dyDescent="0.35">
      <c r="A841" s="6" t="s">
        <v>3092</v>
      </c>
      <c r="B841" s="7">
        <v>45162</v>
      </c>
      <c r="C841" s="6" t="s">
        <v>3093</v>
      </c>
      <c r="D841" s="6" t="s">
        <v>41</v>
      </c>
      <c r="E841">
        <v>3</v>
      </c>
      <c r="F841">
        <v>197.97</v>
      </c>
      <c r="G841" s="6" t="s">
        <v>2768</v>
      </c>
      <c r="H841" s="6" t="s">
        <v>27</v>
      </c>
      <c r="I841" s="6" t="s">
        <v>35</v>
      </c>
      <c r="J841" s="6" t="s">
        <v>3094</v>
      </c>
      <c r="K841">
        <v>5</v>
      </c>
      <c r="L841" s="6" t="s">
        <v>4283</v>
      </c>
      <c r="M841" s="6" t="s">
        <v>76</v>
      </c>
      <c r="N841">
        <v>593.91</v>
      </c>
    </row>
    <row r="842" spans="1:14" x14ac:dyDescent="0.35">
      <c r="A842" s="6" t="s">
        <v>3095</v>
      </c>
      <c r="B842" s="7">
        <v>45305</v>
      </c>
      <c r="C842" s="6" t="s">
        <v>3096</v>
      </c>
      <c r="D842" s="6" t="s">
        <v>41</v>
      </c>
      <c r="E842">
        <v>3</v>
      </c>
      <c r="F842">
        <v>411.95</v>
      </c>
      <c r="G842" s="6" t="s">
        <v>1815</v>
      </c>
      <c r="H842" s="6" t="s">
        <v>34</v>
      </c>
      <c r="I842" s="6" t="s">
        <v>50</v>
      </c>
      <c r="J842" s="6" t="s">
        <v>3097</v>
      </c>
      <c r="K842">
        <v>7</v>
      </c>
      <c r="L842" s="6" t="s">
        <v>37</v>
      </c>
      <c r="M842" s="6" t="s">
        <v>29</v>
      </c>
      <c r="N842">
        <v>1235.8499999999999</v>
      </c>
    </row>
    <row r="843" spans="1:14" x14ac:dyDescent="0.35">
      <c r="A843" s="6" t="s">
        <v>3098</v>
      </c>
      <c r="B843" s="7">
        <v>45554</v>
      </c>
      <c r="C843" s="6" t="s">
        <v>3099</v>
      </c>
      <c r="D843" s="6" t="s">
        <v>48</v>
      </c>
      <c r="E843">
        <v>2</v>
      </c>
      <c r="F843">
        <v>443.22</v>
      </c>
      <c r="G843" s="6" t="s">
        <v>3100</v>
      </c>
      <c r="H843" s="6" t="s">
        <v>34</v>
      </c>
      <c r="I843" s="6" t="s">
        <v>50</v>
      </c>
      <c r="J843" s="6" t="s">
        <v>3101</v>
      </c>
      <c r="K843">
        <v>5</v>
      </c>
      <c r="L843" s="6" t="s">
        <v>4283</v>
      </c>
      <c r="M843" s="6" t="s">
        <v>45</v>
      </c>
      <c r="N843">
        <v>886.44</v>
      </c>
    </row>
    <row r="844" spans="1:14" x14ac:dyDescent="0.35">
      <c r="A844" s="6" t="s">
        <v>3102</v>
      </c>
      <c r="B844" s="7">
        <v>45784</v>
      </c>
      <c r="C844" s="6" t="s">
        <v>3103</v>
      </c>
      <c r="D844" s="6" t="s">
        <v>58</v>
      </c>
      <c r="E844">
        <v>3</v>
      </c>
      <c r="F844">
        <v>364.14</v>
      </c>
      <c r="G844" s="6" t="s">
        <v>2579</v>
      </c>
      <c r="H844" s="6" t="s">
        <v>27</v>
      </c>
      <c r="I844" s="6" t="s">
        <v>89</v>
      </c>
      <c r="J844" s="6" t="s">
        <v>3104</v>
      </c>
      <c r="K844">
        <v>7</v>
      </c>
      <c r="L844" s="6" t="s">
        <v>81</v>
      </c>
      <c r="M844" s="6" t="s">
        <v>29</v>
      </c>
      <c r="N844">
        <v>1092.42</v>
      </c>
    </row>
    <row r="845" spans="1:14" x14ac:dyDescent="0.35">
      <c r="A845" s="6" t="s">
        <v>3105</v>
      </c>
      <c r="B845" s="7">
        <v>45790</v>
      </c>
      <c r="C845" s="6" t="s">
        <v>3106</v>
      </c>
      <c r="D845" s="6" t="s">
        <v>73</v>
      </c>
      <c r="E845">
        <v>3</v>
      </c>
      <c r="F845">
        <v>430.06</v>
      </c>
      <c r="G845" s="6" t="s">
        <v>3107</v>
      </c>
      <c r="H845" s="6" t="s">
        <v>60</v>
      </c>
      <c r="I845" s="6" t="s">
        <v>35</v>
      </c>
      <c r="J845" s="6" t="s">
        <v>3108</v>
      </c>
      <c r="K845">
        <v>8</v>
      </c>
      <c r="L845" s="6" t="s">
        <v>37</v>
      </c>
      <c r="M845" s="6" t="s">
        <v>22</v>
      </c>
      <c r="N845">
        <v>1290.18</v>
      </c>
    </row>
    <row r="846" spans="1:14" x14ac:dyDescent="0.35">
      <c r="A846" s="6" t="s">
        <v>3109</v>
      </c>
      <c r="B846" s="7">
        <v>45630</v>
      </c>
      <c r="C846" s="6" t="s">
        <v>3110</v>
      </c>
      <c r="D846" s="6" t="s">
        <v>41</v>
      </c>
      <c r="E846">
        <v>1</v>
      </c>
      <c r="F846">
        <v>320.92</v>
      </c>
      <c r="G846" s="6" t="s">
        <v>3111</v>
      </c>
      <c r="H846" s="6" t="s">
        <v>27</v>
      </c>
      <c r="I846" s="6" t="s">
        <v>43</v>
      </c>
      <c r="J846" s="6" t="s">
        <v>3112</v>
      </c>
      <c r="K846">
        <v>5</v>
      </c>
      <c r="L846" s="6" t="s">
        <v>37</v>
      </c>
      <c r="M846" s="6" t="s">
        <v>45</v>
      </c>
      <c r="N846">
        <v>320.92</v>
      </c>
    </row>
    <row r="847" spans="1:14" x14ac:dyDescent="0.35">
      <c r="A847" s="6" t="s">
        <v>3113</v>
      </c>
      <c r="B847" s="7">
        <v>45207</v>
      </c>
      <c r="C847" s="6" t="s">
        <v>3114</v>
      </c>
      <c r="D847" s="6" t="s">
        <v>25</v>
      </c>
      <c r="E847">
        <v>3</v>
      </c>
      <c r="F847">
        <v>107.36</v>
      </c>
      <c r="G847" s="6" t="s">
        <v>3115</v>
      </c>
      <c r="H847" s="6" t="s">
        <v>60</v>
      </c>
      <c r="I847" s="6" t="s">
        <v>50</v>
      </c>
      <c r="J847" s="6" t="s">
        <v>3116</v>
      </c>
      <c r="K847">
        <v>5</v>
      </c>
      <c r="L847" s="6" t="s">
        <v>37</v>
      </c>
      <c r="M847" s="6" t="s">
        <v>76</v>
      </c>
      <c r="N847">
        <v>322.08</v>
      </c>
    </row>
    <row r="848" spans="1:14" x14ac:dyDescent="0.35">
      <c r="A848" s="6" t="s">
        <v>3117</v>
      </c>
      <c r="B848" s="7">
        <v>45477</v>
      </c>
      <c r="C848" s="6" t="s">
        <v>3118</v>
      </c>
      <c r="D848" s="6" t="s">
        <v>73</v>
      </c>
      <c r="E848">
        <v>2</v>
      </c>
      <c r="F848">
        <v>359.86</v>
      </c>
      <c r="G848" s="6" t="s">
        <v>3119</v>
      </c>
      <c r="H848" s="6" t="s">
        <v>18</v>
      </c>
      <c r="I848" s="6" t="s">
        <v>35</v>
      </c>
      <c r="J848" s="6" t="s">
        <v>3120</v>
      </c>
      <c r="K848">
        <v>4</v>
      </c>
      <c r="L848" s="6" t="s">
        <v>4283</v>
      </c>
      <c r="M848" s="6" t="s">
        <v>29</v>
      </c>
      <c r="N848">
        <v>719.72</v>
      </c>
    </row>
    <row r="849" spans="1:14" x14ac:dyDescent="0.35">
      <c r="A849" s="6" t="s">
        <v>3121</v>
      </c>
      <c r="B849" s="7">
        <v>45614</v>
      </c>
      <c r="C849" s="6" t="s">
        <v>3122</v>
      </c>
      <c r="D849" s="6" t="s">
        <v>48</v>
      </c>
      <c r="E849">
        <v>4</v>
      </c>
      <c r="F849">
        <v>434.23</v>
      </c>
      <c r="G849" s="6" t="s">
        <v>1161</v>
      </c>
      <c r="H849" s="6" t="s">
        <v>27</v>
      </c>
      <c r="I849" s="6" t="s">
        <v>19</v>
      </c>
      <c r="J849" s="6" t="s">
        <v>3123</v>
      </c>
      <c r="K849">
        <v>8</v>
      </c>
      <c r="L849" s="6" t="s">
        <v>37</v>
      </c>
      <c r="M849" s="6" t="s">
        <v>38</v>
      </c>
      <c r="N849">
        <v>1736.92</v>
      </c>
    </row>
    <row r="850" spans="1:14" x14ac:dyDescent="0.35">
      <c r="A850" s="6" t="s">
        <v>3124</v>
      </c>
      <c r="B850" s="7">
        <v>44927</v>
      </c>
      <c r="C850" s="6" t="s">
        <v>3125</v>
      </c>
      <c r="D850" s="6" t="s">
        <v>41</v>
      </c>
      <c r="E850">
        <v>2</v>
      </c>
      <c r="F850">
        <v>645.85</v>
      </c>
      <c r="G850" s="6" t="s">
        <v>277</v>
      </c>
      <c r="H850" s="6" t="s">
        <v>27</v>
      </c>
      <c r="I850" s="6" t="s">
        <v>19</v>
      </c>
      <c r="J850" s="6" t="s">
        <v>3126</v>
      </c>
      <c r="K850">
        <v>5</v>
      </c>
      <c r="L850" s="6" t="s">
        <v>4283</v>
      </c>
      <c r="M850" s="6" t="s">
        <v>29</v>
      </c>
      <c r="N850">
        <v>1291.7</v>
      </c>
    </row>
    <row r="851" spans="1:14" x14ac:dyDescent="0.35">
      <c r="A851" s="6" t="s">
        <v>3127</v>
      </c>
      <c r="B851" s="7">
        <v>45817</v>
      </c>
      <c r="C851" s="6" t="s">
        <v>3128</v>
      </c>
      <c r="D851" s="6" t="s">
        <v>48</v>
      </c>
      <c r="E851">
        <v>4</v>
      </c>
      <c r="F851">
        <v>214.35</v>
      </c>
      <c r="G851" s="6" t="s">
        <v>3042</v>
      </c>
      <c r="H851" s="6" t="s">
        <v>18</v>
      </c>
      <c r="I851" s="6" t="s">
        <v>35</v>
      </c>
      <c r="J851" s="6" t="s">
        <v>3129</v>
      </c>
      <c r="K851">
        <v>7</v>
      </c>
      <c r="L851" s="6" t="s">
        <v>81</v>
      </c>
      <c r="M851" s="6" t="s">
        <v>29</v>
      </c>
      <c r="N851">
        <v>857.4</v>
      </c>
    </row>
    <row r="852" spans="1:14" x14ac:dyDescent="0.35">
      <c r="A852" s="6" t="s">
        <v>3130</v>
      </c>
      <c r="B852" s="7">
        <v>45774</v>
      </c>
      <c r="C852" s="6" t="s">
        <v>3131</v>
      </c>
      <c r="D852" s="6" t="s">
        <v>16</v>
      </c>
      <c r="E852">
        <v>3</v>
      </c>
      <c r="F852">
        <v>638.5</v>
      </c>
      <c r="G852" s="6" t="s">
        <v>2684</v>
      </c>
      <c r="H852" s="6" t="s">
        <v>18</v>
      </c>
      <c r="I852" s="6" t="s">
        <v>35</v>
      </c>
      <c r="J852" s="6" t="s">
        <v>3132</v>
      </c>
      <c r="K852">
        <v>4</v>
      </c>
      <c r="L852" s="6" t="s">
        <v>37</v>
      </c>
      <c r="M852" s="6" t="s">
        <v>22</v>
      </c>
      <c r="N852">
        <v>1915.5</v>
      </c>
    </row>
    <row r="853" spans="1:14" x14ac:dyDescent="0.35">
      <c r="A853" s="6" t="s">
        <v>3133</v>
      </c>
      <c r="B853" s="7">
        <v>45272</v>
      </c>
      <c r="C853" s="6" t="s">
        <v>3134</v>
      </c>
      <c r="D853" s="6" t="s">
        <v>58</v>
      </c>
      <c r="E853">
        <v>1</v>
      </c>
      <c r="F853">
        <v>365.57</v>
      </c>
      <c r="G853" s="6" t="s">
        <v>347</v>
      </c>
      <c r="H853" s="6" t="s">
        <v>27</v>
      </c>
      <c r="I853" s="6" t="s">
        <v>35</v>
      </c>
      <c r="J853" s="6" t="s">
        <v>3135</v>
      </c>
      <c r="K853">
        <v>5</v>
      </c>
      <c r="L853" s="6" t="s">
        <v>21</v>
      </c>
      <c r="M853" s="6" t="s">
        <v>38</v>
      </c>
      <c r="N853">
        <v>365.57</v>
      </c>
    </row>
    <row r="854" spans="1:14" x14ac:dyDescent="0.35">
      <c r="A854" s="6" t="s">
        <v>3136</v>
      </c>
      <c r="B854" s="7">
        <v>45589</v>
      </c>
      <c r="C854" s="6" t="s">
        <v>3137</v>
      </c>
      <c r="D854" s="6" t="s">
        <v>73</v>
      </c>
      <c r="E854">
        <v>3</v>
      </c>
      <c r="F854">
        <v>568.04999999999995</v>
      </c>
      <c r="G854" s="6" t="s">
        <v>3138</v>
      </c>
      <c r="H854" s="6" t="s">
        <v>60</v>
      </c>
      <c r="I854" s="6" t="s">
        <v>89</v>
      </c>
      <c r="J854" s="6" t="s">
        <v>3139</v>
      </c>
      <c r="K854">
        <v>6</v>
      </c>
      <c r="L854" s="6" t="s">
        <v>21</v>
      </c>
      <c r="M854" s="6" t="s">
        <v>76</v>
      </c>
      <c r="N854">
        <v>1704.15</v>
      </c>
    </row>
    <row r="855" spans="1:14" x14ac:dyDescent="0.35">
      <c r="A855" s="6" t="s">
        <v>3140</v>
      </c>
      <c r="B855" s="7">
        <v>45215</v>
      </c>
      <c r="C855" s="6" t="s">
        <v>3141</v>
      </c>
      <c r="D855" s="6" t="s">
        <v>48</v>
      </c>
      <c r="E855">
        <v>3</v>
      </c>
      <c r="F855">
        <v>490.01</v>
      </c>
      <c r="G855" s="6" t="s">
        <v>1194</v>
      </c>
      <c r="H855" s="6" t="s">
        <v>65</v>
      </c>
      <c r="I855" s="6" t="s">
        <v>43</v>
      </c>
      <c r="J855" s="6" t="s">
        <v>3142</v>
      </c>
      <c r="K855">
        <v>4</v>
      </c>
      <c r="L855" s="6" t="s">
        <v>21</v>
      </c>
      <c r="M855" s="6" t="s">
        <v>45</v>
      </c>
      <c r="N855">
        <v>1470.03</v>
      </c>
    </row>
    <row r="856" spans="1:14" x14ac:dyDescent="0.35">
      <c r="A856" s="6" t="s">
        <v>3143</v>
      </c>
      <c r="B856" s="7">
        <v>45821</v>
      </c>
      <c r="C856" s="6" t="s">
        <v>3144</v>
      </c>
      <c r="D856" s="6" t="s">
        <v>58</v>
      </c>
      <c r="E856">
        <v>3</v>
      </c>
      <c r="F856">
        <v>372.6</v>
      </c>
      <c r="G856" s="6" t="s">
        <v>1731</v>
      </c>
      <c r="H856" s="6" t="s">
        <v>34</v>
      </c>
      <c r="I856" s="6" t="s">
        <v>50</v>
      </c>
      <c r="J856" s="6" t="s">
        <v>3145</v>
      </c>
      <c r="K856">
        <v>7</v>
      </c>
      <c r="L856" s="6" t="s">
        <v>81</v>
      </c>
      <c r="M856" s="6" t="s">
        <v>29</v>
      </c>
      <c r="N856">
        <v>1117.8</v>
      </c>
    </row>
    <row r="857" spans="1:14" x14ac:dyDescent="0.35">
      <c r="A857" s="6" t="s">
        <v>3146</v>
      </c>
      <c r="B857" s="7">
        <v>45071</v>
      </c>
      <c r="C857" s="6" t="s">
        <v>3147</v>
      </c>
      <c r="D857" s="6" t="s">
        <v>16</v>
      </c>
      <c r="E857">
        <v>5</v>
      </c>
      <c r="F857">
        <v>240.61</v>
      </c>
      <c r="G857" s="6" t="s">
        <v>996</v>
      </c>
      <c r="H857" s="6" t="s">
        <v>34</v>
      </c>
      <c r="I857" s="6" t="s">
        <v>19</v>
      </c>
      <c r="J857" s="6" t="s">
        <v>3148</v>
      </c>
      <c r="K857">
        <v>10</v>
      </c>
      <c r="L857" s="6" t="s">
        <v>37</v>
      </c>
      <c r="M857" s="6" t="s">
        <v>38</v>
      </c>
      <c r="N857">
        <v>1203.05</v>
      </c>
    </row>
    <row r="858" spans="1:14" x14ac:dyDescent="0.35">
      <c r="A858" s="6" t="s">
        <v>3149</v>
      </c>
      <c r="B858" s="7">
        <v>45446</v>
      </c>
      <c r="C858" s="6" t="s">
        <v>3150</v>
      </c>
      <c r="D858" s="6" t="s">
        <v>25</v>
      </c>
      <c r="E858">
        <v>1</v>
      </c>
      <c r="F858">
        <v>586.62</v>
      </c>
      <c r="G858" s="6" t="s">
        <v>212</v>
      </c>
      <c r="H858" s="6" t="s">
        <v>18</v>
      </c>
      <c r="I858" s="6" t="s">
        <v>19</v>
      </c>
      <c r="J858" s="6" t="s">
        <v>3151</v>
      </c>
      <c r="K858">
        <v>5</v>
      </c>
      <c r="L858" s="6" t="s">
        <v>4283</v>
      </c>
      <c r="M858" s="6" t="s">
        <v>45</v>
      </c>
      <c r="N858">
        <v>586.62</v>
      </c>
    </row>
    <row r="859" spans="1:14" x14ac:dyDescent="0.35">
      <c r="A859" s="6" t="s">
        <v>3152</v>
      </c>
      <c r="B859" s="7">
        <v>45361</v>
      </c>
      <c r="C859" s="6" t="s">
        <v>3153</v>
      </c>
      <c r="D859" s="6" t="s">
        <v>25</v>
      </c>
      <c r="E859">
        <v>3</v>
      </c>
      <c r="F859">
        <v>257.83999999999997</v>
      </c>
      <c r="G859" s="6" t="s">
        <v>858</v>
      </c>
      <c r="H859" s="6" t="s">
        <v>27</v>
      </c>
      <c r="I859" s="6" t="s">
        <v>50</v>
      </c>
      <c r="J859" s="6" t="s">
        <v>3154</v>
      </c>
      <c r="K859">
        <v>4</v>
      </c>
      <c r="L859" s="6" t="s">
        <v>4283</v>
      </c>
      <c r="M859" s="6" t="s">
        <v>22</v>
      </c>
      <c r="N859">
        <v>773.52</v>
      </c>
    </row>
    <row r="860" spans="1:14" x14ac:dyDescent="0.35">
      <c r="A860" s="6" t="s">
        <v>3155</v>
      </c>
      <c r="B860" s="7">
        <v>45158</v>
      </c>
      <c r="C860" s="6" t="s">
        <v>3156</v>
      </c>
      <c r="D860" s="6" t="s">
        <v>32</v>
      </c>
      <c r="E860">
        <v>5</v>
      </c>
      <c r="F860">
        <v>435.66</v>
      </c>
      <c r="G860" s="6" t="s">
        <v>113</v>
      </c>
      <c r="H860" s="6" t="s">
        <v>27</v>
      </c>
      <c r="I860" s="6" t="s">
        <v>89</v>
      </c>
      <c r="J860" s="6" t="s">
        <v>3157</v>
      </c>
      <c r="K860">
        <v>9</v>
      </c>
      <c r="L860" s="6" t="s">
        <v>4283</v>
      </c>
      <c r="M860" s="6" t="s">
        <v>45</v>
      </c>
      <c r="N860">
        <v>2178.3000000000002</v>
      </c>
    </row>
    <row r="861" spans="1:14" x14ac:dyDescent="0.35">
      <c r="A861" s="6" t="s">
        <v>3158</v>
      </c>
      <c r="B861" s="7">
        <v>45532</v>
      </c>
      <c r="C861" s="6" t="s">
        <v>3159</v>
      </c>
      <c r="D861" s="6" t="s">
        <v>41</v>
      </c>
      <c r="E861">
        <v>5</v>
      </c>
      <c r="F861">
        <v>261.33</v>
      </c>
      <c r="G861" s="6" t="s">
        <v>2311</v>
      </c>
      <c r="H861" s="6" t="s">
        <v>34</v>
      </c>
      <c r="I861" s="6" t="s">
        <v>43</v>
      </c>
      <c r="J861" s="6" t="s">
        <v>3160</v>
      </c>
      <c r="K861">
        <v>5</v>
      </c>
      <c r="L861" s="6" t="s">
        <v>21</v>
      </c>
      <c r="M861" s="6" t="s">
        <v>29</v>
      </c>
      <c r="N861">
        <v>1306.6500000000001</v>
      </c>
    </row>
    <row r="862" spans="1:14" x14ac:dyDescent="0.35">
      <c r="A862" s="6" t="s">
        <v>3161</v>
      </c>
      <c r="B862" s="7">
        <v>45314</v>
      </c>
      <c r="C862" s="6" t="s">
        <v>3162</v>
      </c>
      <c r="D862" s="6" t="s">
        <v>48</v>
      </c>
      <c r="E862">
        <v>1</v>
      </c>
      <c r="F862">
        <v>422.54</v>
      </c>
      <c r="G862" s="6" t="s">
        <v>1368</v>
      </c>
      <c r="H862" s="6" t="s">
        <v>65</v>
      </c>
      <c r="I862" s="6" t="s">
        <v>50</v>
      </c>
      <c r="J862" s="6" t="s">
        <v>3163</v>
      </c>
      <c r="K862">
        <v>1</v>
      </c>
      <c r="L862" s="6" t="s">
        <v>21</v>
      </c>
      <c r="M862" s="6" t="s">
        <v>76</v>
      </c>
      <c r="N862">
        <v>422.54</v>
      </c>
    </row>
    <row r="863" spans="1:14" x14ac:dyDescent="0.35">
      <c r="A863" s="6" t="s">
        <v>3164</v>
      </c>
      <c r="B863" s="7">
        <v>45004</v>
      </c>
      <c r="C863" s="6" t="s">
        <v>3165</v>
      </c>
      <c r="D863" s="6" t="s">
        <v>73</v>
      </c>
      <c r="E863">
        <v>5</v>
      </c>
      <c r="F863">
        <v>330.45</v>
      </c>
      <c r="G863" s="6" t="s">
        <v>3166</v>
      </c>
      <c r="H863" s="6" t="s">
        <v>60</v>
      </c>
      <c r="I863" s="6" t="s">
        <v>19</v>
      </c>
      <c r="J863" s="6" t="s">
        <v>3167</v>
      </c>
      <c r="K863">
        <v>10</v>
      </c>
      <c r="L863" s="6" t="s">
        <v>37</v>
      </c>
      <c r="M863" s="6" t="s">
        <v>76</v>
      </c>
      <c r="N863">
        <v>1652.25</v>
      </c>
    </row>
    <row r="864" spans="1:14" x14ac:dyDescent="0.35">
      <c r="A864" s="6" t="s">
        <v>3168</v>
      </c>
      <c r="B864" s="7">
        <v>45262</v>
      </c>
      <c r="C864" s="6" t="s">
        <v>3169</v>
      </c>
      <c r="D864" s="6" t="s">
        <v>73</v>
      </c>
      <c r="E864">
        <v>3</v>
      </c>
      <c r="F864">
        <v>120.82</v>
      </c>
      <c r="G864" s="6" t="s">
        <v>2620</v>
      </c>
      <c r="H864" s="6" t="s">
        <v>34</v>
      </c>
      <c r="I864" s="6" t="s">
        <v>19</v>
      </c>
      <c r="J864" s="6" t="s">
        <v>3170</v>
      </c>
      <c r="K864">
        <v>5</v>
      </c>
      <c r="L864" s="6" t="s">
        <v>21</v>
      </c>
      <c r="M864" s="6" t="s">
        <v>29</v>
      </c>
      <c r="N864">
        <v>362.46</v>
      </c>
    </row>
    <row r="865" spans="1:14" x14ac:dyDescent="0.35">
      <c r="A865" s="6" t="s">
        <v>3171</v>
      </c>
      <c r="B865" s="7">
        <v>45432</v>
      </c>
      <c r="C865" s="6" t="s">
        <v>3172</v>
      </c>
      <c r="D865" s="6" t="s">
        <v>25</v>
      </c>
      <c r="E865">
        <v>1</v>
      </c>
      <c r="F865">
        <v>14.06</v>
      </c>
      <c r="G865" s="6" t="s">
        <v>1000</v>
      </c>
      <c r="H865" s="6" t="s">
        <v>34</v>
      </c>
      <c r="I865" s="6" t="s">
        <v>89</v>
      </c>
      <c r="J865" s="6" t="s">
        <v>3173</v>
      </c>
      <c r="K865">
        <v>5</v>
      </c>
      <c r="L865" s="6" t="s">
        <v>21</v>
      </c>
      <c r="M865" s="6" t="s">
        <v>29</v>
      </c>
      <c r="N865">
        <v>14.06</v>
      </c>
    </row>
    <row r="866" spans="1:14" x14ac:dyDescent="0.35">
      <c r="A866" s="6" t="s">
        <v>3174</v>
      </c>
      <c r="B866" s="7">
        <v>45049</v>
      </c>
      <c r="C866" s="6" t="s">
        <v>3175</v>
      </c>
      <c r="D866" s="6" t="s">
        <v>73</v>
      </c>
      <c r="E866">
        <v>1</v>
      </c>
      <c r="F866">
        <v>491.11</v>
      </c>
      <c r="G866" s="6" t="s">
        <v>3176</v>
      </c>
      <c r="H866" s="6" t="s">
        <v>34</v>
      </c>
      <c r="I866" s="6" t="s">
        <v>50</v>
      </c>
      <c r="J866" s="6" t="s">
        <v>3177</v>
      </c>
      <c r="K866">
        <v>4</v>
      </c>
      <c r="L866" s="6" t="s">
        <v>21</v>
      </c>
      <c r="M866" s="6" t="s">
        <v>45</v>
      </c>
      <c r="N866">
        <v>491.11</v>
      </c>
    </row>
    <row r="867" spans="1:14" x14ac:dyDescent="0.35">
      <c r="A867" s="6" t="s">
        <v>3178</v>
      </c>
      <c r="B867" s="7">
        <v>45046</v>
      </c>
      <c r="C867" s="6" t="s">
        <v>3179</v>
      </c>
      <c r="D867" s="6" t="s">
        <v>16</v>
      </c>
      <c r="E867">
        <v>4</v>
      </c>
      <c r="F867">
        <v>677.37</v>
      </c>
      <c r="G867" s="6" t="s">
        <v>3180</v>
      </c>
      <c r="H867" s="6" t="s">
        <v>65</v>
      </c>
      <c r="I867" s="6" t="s">
        <v>89</v>
      </c>
      <c r="J867" s="6" t="s">
        <v>3181</v>
      </c>
      <c r="K867">
        <v>8</v>
      </c>
      <c r="L867" s="6" t="s">
        <v>21</v>
      </c>
      <c r="M867" s="6" t="s">
        <v>76</v>
      </c>
      <c r="N867">
        <v>2709.48</v>
      </c>
    </row>
    <row r="868" spans="1:14" x14ac:dyDescent="0.35">
      <c r="A868" s="6" t="s">
        <v>3182</v>
      </c>
      <c r="B868" s="7">
        <v>45499</v>
      </c>
      <c r="C868" s="6" t="s">
        <v>3183</v>
      </c>
      <c r="D868" s="6" t="s">
        <v>73</v>
      </c>
      <c r="E868">
        <v>5</v>
      </c>
      <c r="F868">
        <v>189.25</v>
      </c>
      <c r="G868" s="6" t="s">
        <v>3184</v>
      </c>
      <c r="H868" s="6" t="s">
        <v>18</v>
      </c>
      <c r="I868" s="6" t="s">
        <v>35</v>
      </c>
      <c r="J868" s="6" t="s">
        <v>3185</v>
      </c>
      <c r="K868">
        <v>10</v>
      </c>
      <c r="L868" s="6" t="s">
        <v>81</v>
      </c>
      <c r="M868" s="6" t="s">
        <v>38</v>
      </c>
      <c r="N868">
        <v>946.25</v>
      </c>
    </row>
    <row r="869" spans="1:14" x14ac:dyDescent="0.35">
      <c r="A869" s="6" t="s">
        <v>3186</v>
      </c>
      <c r="B869" s="7">
        <v>45438</v>
      </c>
      <c r="C869" s="6" t="s">
        <v>3187</v>
      </c>
      <c r="D869" s="6" t="s">
        <v>48</v>
      </c>
      <c r="E869">
        <v>4</v>
      </c>
      <c r="F869">
        <v>142.58000000000001</v>
      </c>
      <c r="G869" s="6" t="s">
        <v>3188</v>
      </c>
      <c r="H869" s="6" t="s">
        <v>65</v>
      </c>
      <c r="I869" s="6" t="s">
        <v>50</v>
      </c>
      <c r="J869" s="6" t="s">
        <v>3189</v>
      </c>
      <c r="K869">
        <v>4</v>
      </c>
      <c r="L869" s="6" t="s">
        <v>37</v>
      </c>
      <c r="M869" s="6" t="s">
        <v>45</v>
      </c>
      <c r="N869">
        <v>570.32000000000005</v>
      </c>
    </row>
    <row r="870" spans="1:14" x14ac:dyDescent="0.35">
      <c r="A870" s="6" t="s">
        <v>3190</v>
      </c>
      <c r="B870" s="7">
        <v>45472</v>
      </c>
      <c r="C870" s="6" t="s">
        <v>3191</v>
      </c>
      <c r="D870" s="6" t="s">
        <v>16</v>
      </c>
      <c r="E870">
        <v>4</v>
      </c>
      <c r="F870">
        <v>316.32</v>
      </c>
      <c r="G870" s="6" t="s">
        <v>3192</v>
      </c>
      <c r="H870" s="6" t="s">
        <v>18</v>
      </c>
      <c r="I870" s="6" t="s">
        <v>50</v>
      </c>
      <c r="J870" s="6" t="s">
        <v>3193</v>
      </c>
      <c r="K870">
        <v>7</v>
      </c>
      <c r="L870" s="6" t="s">
        <v>4283</v>
      </c>
      <c r="M870" s="6" t="s">
        <v>45</v>
      </c>
      <c r="N870">
        <v>1265.28</v>
      </c>
    </row>
    <row r="871" spans="1:14" x14ac:dyDescent="0.35">
      <c r="A871" s="6" t="s">
        <v>3194</v>
      </c>
      <c r="B871" s="7">
        <v>45368</v>
      </c>
      <c r="C871" s="6" t="s">
        <v>3195</v>
      </c>
      <c r="D871" s="6" t="s">
        <v>73</v>
      </c>
      <c r="E871">
        <v>2</v>
      </c>
      <c r="F871">
        <v>533.95000000000005</v>
      </c>
      <c r="G871" s="6" t="s">
        <v>719</v>
      </c>
      <c r="H871" s="6" t="s">
        <v>27</v>
      </c>
      <c r="I871" s="6" t="s">
        <v>50</v>
      </c>
      <c r="J871" s="6" t="s">
        <v>3196</v>
      </c>
      <c r="K871">
        <v>5</v>
      </c>
      <c r="L871" s="6" t="s">
        <v>81</v>
      </c>
      <c r="M871" s="6" t="s">
        <v>76</v>
      </c>
      <c r="N871">
        <v>1067.9000000000001</v>
      </c>
    </row>
    <row r="872" spans="1:14" x14ac:dyDescent="0.35">
      <c r="A872" s="6" t="s">
        <v>3197</v>
      </c>
      <c r="B872" s="7">
        <v>45809</v>
      </c>
      <c r="C872" s="6" t="s">
        <v>3198</v>
      </c>
      <c r="D872" s="6" t="s">
        <v>25</v>
      </c>
      <c r="E872">
        <v>4</v>
      </c>
      <c r="F872">
        <v>470.09</v>
      </c>
      <c r="G872" s="6" t="s">
        <v>3199</v>
      </c>
      <c r="H872" s="6" t="s">
        <v>18</v>
      </c>
      <c r="I872" s="6" t="s">
        <v>50</v>
      </c>
      <c r="J872" s="6" t="s">
        <v>3200</v>
      </c>
      <c r="K872">
        <v>4</v>
      </c>
      <c r="L872" s="6" t="s">
        <v>37</v>
      </c>
      <c r="M872" s="6" t="s">
        <v>76</v>
      </c>
      <c r="N872">
        <v>1880.36</v>
      </c>
    </row>
    <row r="873" spans="1:14" x14ac:dyDescent="0.35">
      <c r="A873" s="6" t="s">
        <v>3201</v>
      </c>
      <c r="B873" s="7">
        <v>45428</v>
      </c>
      <c r="C873" s="6" t="s">
        <v>3202</v>
      </c>
      <c r="D873" s="6" t="s">
        <v>32</v>
      </c>
      <c r="E873">
        <v>3</v>
      </c>
      <c r="F873">
        <v>324.3</v>
      </c>
      <c r="G873" s="6" t="s">
        <v>3203</v>
      </c>
      <c r="H873" s="6" t="s">
        <v>18</v>
      </c>
      <c r="I873" s="6" t="s">
        <v>89</v>
      </c>
      <c r="J873" s="6" t="s">
        <v>3204</v>
      </c>
      <c r="K873">
        <v>8</v>
      </c>
      <c r="L873" s="6" t="s">
        <v>37</v>
      </c>
      <c r="M873" s="6" t="s">
        <v>38</v>
      </c>
      <c r="N873">
        <v>972.9</v>
      </c>
    </row>
    <row r="874" spans="1:14" x14ac:dyDescent="0.35">
      <c r="A874" s="6" t="s">
        <v>3205</v>
      </c>
      <c r="B874" s="7">
        <v>45117</v>
      </c>
      <c r="C874" s="6" t="s">
        <v>3206</v>
      </c>
      <c r="D874" s="6" t="s">
        <v>41</v>
      </c>
      <c r="E874">
        <v>4</v>
      </c>
      <c r="F874">
        <v>629.34</v>
      </c>
      <c r="G874" s="6" t="s">
        <v>830</v>
      </c>
      <c r="H874" s="6" t="s">
        <v>65</v>
      </c>
      <c r="I874" s="6" t="s">
        <v>19</v>
      </c>
      <c r="J874" s="6" t="s">
        <v>3207</v>
      </c>
      <c r="K874">
        <v>7</v>
      </c>
      <c r="L874" s="6" t="s">
        <v>4283</v>
      </c>
      <c r="M874" s="6" t="s">
        <v>38</v>
      </c>
      <c r="N874">
        <v>2517.36</v>
      </c>
    </row>
    <row r="875" spans="1:14" x14ac:dyDescent="0.35">
      <c r="A875" s="6" t="s">
        <v>3208</v>
      </c>
      <c r="B875" s="7">
        <v>45424</v>
      </c>
      <c r="C875" s="6" t="s">
        <v>3209</v>
      </c>
      <c r="D875" s="6" t="s">
        <v>73</v>
      </c>
      <c r="E875">
        <v>3</v>
      </c>
      <c r="F875">
        <v>136.84</v>
      </c>
      <c r="G875" s="6" t="s">
        <v>3210</v>
      </c>
      <c r="H875" s="6" t="s">
        <v>65</v>
      </c>
      <c r="I875" s="6" t="s">
        <v>50</v>
      </c>
      <c r="J875" s="6" t="s">
        <v>3211</v>
      </c>
      <c r="K875">
        <v>3</v>
      </c>
      <c r="L875" s="6" t="s">
        <v>21</v>
      </c>
      <c r="M875" s="6" t="s">
        <v>45</v>
      </c>
      <c r="N875">
        <v>410.52</v>
      </c>
    </row>
    <row r="876" spans="1:14" x14ac:dyDescent="0.35">
      <c r="A876" s="6" t="s">
        <v>3212</v>
      </c>
      <c r="B876" s="7">
        <v>45230</v>
      </c>
      <c r="C876" s="6" t="s">
        <v>3213</v>
      </c>
      <c r="D876" s="6" t="s">
        <v>41</v>
      </c>
      <c r="E876">
        <v>2</v>
      </c>
      <c r="F876">
        <v>488.9</v>
      </c>
      <c r="G876" s="6" t="s">
        <v>2648</v>
      </c>
      <c r="H876" s="6" t="s">
        <v>65</v>
      </c>
      <c r="I876" s="6" t="s">
        <v>50</v>
      </c>
      <c r="J876" s="6" t="s">
        <v>3214</v>
      </c>
      <c r="K876">
        <v>7</v>
      </c>
      <c r="L876" s="6" t="s">
        <v>37</v>
      </c>
      <c r="M876" s="6" t="s">
        <v>45</v>
      </c>
      <c r="N876">
        <v>977.8</v>
      </c>
    </row>
    <row r="877" spans="1:14" x14ac:dyDescent="0.35">
      <c r="A877" s="6" t="s">
        <v>3215</v>
      </c>
      <c r="B877" s="7">
        <v>45141</v>
      </c>
      <c r="C877" s="6" t="s">
        <v>3216</v>
      </c>
      <c r="D877" s="6" t="s">
        <v>58</v>
      </c>
      <c r="E877">
        <v>5</v>
      </c>
      <c r="F877">
        <v>133.38999999999999</v>
      </c>
      <c r="G877" s="6" t="s">
        <v>403</v>
      </c>
      <c r="H877" s="6" t="s">
        <v>34</v>
      </c>
      <c r="I877" s="6" t="s">
        <v>50</v>
      </c>
      <c r="J877" s="6" t="s">
        <v>3217</v>
      </c>
      <c r="K877">
        <v>6</v>
      </c>
      <c r="L877" s="6" t="s">
        <v>37</v>
      </c>
      <c r="M877" s="6" t="s">
        <v>29</v>
      </c>
      <c r="N877">
        <v>666.95</v>
      </c>
    </row>
    <row r="878" spans="1:14" x14ac:dyDescent="0.35">
      <c r="A878" s="6" t="s">
        <v>3218</v>
      </c>
      <c r="B878" s="7">
        <v>45452</v>
      </c>
      <c r="C878" s="6" t="s">
        <v>3219</v>
      </c>
      <c r="D878" s="6" t="s">
        <v>41</v>
      </c>
      <c r="E878">
        <v>5</v>
      </c>
      <c r="F878">
        <v>608.91</v>
      </c>
      <c r="G878" s="6" t="s">
        <v>2760</v>
      </c>
      <c r="H878" s="6" t="s">
        <v>60</v>
      </c>
      <c r="I878" s="6" t="s">
        <v>89</v>
      </c>
      <c r="J878" s="6" t="s">
        <v>3220</v>
      </c>
      <c r="K878">
        <v>6</v>
      </c>
      <c r="L878" s="6" t="s">
        <v>21</v>
      </c>
      <c r="M878" s="6" t="s">
        <v>76</v>
      </c>
      <c r="N878">
        <v>3044.55</v>
      </c>
    </row>
    <row r="879" spans="1:14" x14ac:dyDescent="0.35">
      <c r="A879" s="6" t="s">
        <v>3221</v>
      </c>
      <c r="B879" s="7">
        <v>45498</v>
      </c>
      <c r="C879" s="6" t="s">
        <v>3222</v>
      </c>
      <c r="D879" s="6" t="s">
        <v>32</v>
      </c>
      <c r="E879">
        <v>1</v>
      </c>
      <c r="F879">
        <v>524.05999999999995</v>
      </c>
      <c r="G879" s="6" t="s">
        <v>2346</v>
      </c>
      <c r="H879" s="6" t="s">
        <v>18</v>
      </c>
      <c r="I879" s="6" t="s">
        <v>89</v>
      </c>
      <c r="J879" s="6" t="s">
        <v>3223</v>
      </c>
      <c r="K879">
        <v>3</v>
      </c>
      <c r="L879" s="6" t="s">
        <v>37</v>
      </c>
      <c r="M879" s="6" t="s">
        <v>38</v>
      </c>
      <c r="N879">
        <v>524.05999999999995</v>
      </c>
    </row>
    <row r="880" spans="1:14" x14ac:dyDescent="0.35">
      <c r="A880" s="6" t="s">
        <v>3224</v>
      </c>
      <c r="B880" s="7">
        <v>45078</v>
      </c>
      <c r="C880" s="6" t="s">
        <v>3225</v>
      </c>
      <c r="D880" s="6" t="s">
        <v>73</v>
      </c>
      <c r="E880">
        <v>2</v>
      </c>
      <c r="F880">
        <v>330.69</v>
      </c>
      <c r="G880" s="6" t="s">
        <v>3226</v>
      </c>
      <c r="H880" s="6" t="s">
        <v>27</v>
      </c>
      <c r="I880" s="6" t="s">
        <v>35</v>
      </c>
      <c r="J880" s="6" t="s">
        <v>3227</v>
      </c>
      <c r="K880">
        <v>5</v>
      </c>
      <c r="L880" s="6" t="s">
        <v>21</v>
      </c>
      <c r="M880" s="6" t="s">
        <v>76</v>
      </c>
      <c r="N880">
        <v>661.38</v>
      </c>
    </row>
    <row r="881" spans="1:14" x14ac:dyDescent="0.35">
      <c r="A881" s="6" t="s">
        <v>3228</v>
      </c>
      <c r="B881" s="7">
        <v>45755</v>
      </c>
      <c r="C881" s="6" t="s">
        <v>3229</v>
      </c>
      <c r="D881" s="6" t="s">
        <v>25</v>
      </c>
      <c r="E881">
        <v>2</v>
      </c>
      <c r="F881">
        <v>547.66999999999996</v>
      </c>
      <c r="G881" s="6" t="s">
        <v>2116</v>
      </c>
      <c r="H881" s="6" t="s">
        <v>60</v>
      </c>
      <c r="I881" s="6" t="s">
        <v>19</v>
      </c>
      <c r="J881" s="6" t="s">
        <v>3230</v>
      </c>
      <c r="K881">
        <v>3</v>
      </c>
      <c r="L881" s="6" t="s">
        <v>4283</v>
      </c>
      <c r="M881" s="6" t="s">
        <v>22</v>
      </c>
      <c r="N881">
        <v>1095.3399999999999</v>
      </c>
    </row>
    <row r="882" spans="1:14" x14ac:dyDescent="0.35">
      <c r="A882" s="6" t="s">
        <v>3231</v>
      </c>
      <c r="B882" s="7">
        <v>45728</v>
      </c>
      <c r="C882" s="6" t="s">
        <v>3232</v>
      </c>
      <c r="D882" s="6" t="s">
        <v>58</v>
      </c>
      <c r="E882">
        <v>4</v>
      </c>
      <c r="F882">
        <v>233.7</v>
      </c>
      <c r="G882" s="6" t="s">
        <v>980</v>
      </c>
      <c r="H882" s="6" t="s">
        <v>27</v>
      </c>
      <c r="I882" s="6" t="s">
        <v>19</v>
      </c>
      <c r="J882" s="6" t="s">
        <v>3233</v>
      </c>
      <c r="K882">
        <v>8</v>
      </c>
      <c r="L882" s="6" t="s">
        <v>21</v>
      </c>
      <c r="M882" s="6" t="s">
        <v>45</v>
      </c>
      <c r="N882">
        <v>934.8</v>
      </c>
    </row>
    <row r="883" spans="1:14" x14ac:dyDescent="0.35">
      <c r="A883" s="6" t="s">
        <v>3234</v>
      </c>
      <c r="B883" s="7">
        <v>44929</v>
      </c>
      <c r="C883" s="6" t="s">
        <v>3235</v>
      </c>
      <c r="D883" s="6" t="s">
        <v>32</v>
      </c>
      <c r="E883">
        <v>2</v>
      </c>
      <c r="F883">
        <v>448.85</v>
      </c>
      <c r="G883" s="6" t="s">
        <v>3236</v>
      </c>
      <c r="H883" s="6" t="s">
        <v>34</v>
      </c>
      <c r="I883" s="6" t="s">
        <v>89</v>
      </c>
      <c r="J883" s="6" t="s">
        <v>3237</v>
      </c>
      <c r="K883">
        <v>6</v>
      </c>
      <c r="L883" s="6" t="s">
        <v>4283</v>
      </c>
      <c r="M883" s="6" t="s">
        <v>22</v>
      </c>
      <c r="N883">
        <v>897.7</v>
      </c>
    </row>
    <row r="884" spans="1:14" x14ac:dyDescent="0.35">
      <c r="A884" s="6" t="s">
        <v>3238</v>
      </c>
      <c r="B884" s="7">
        <v>45836</v>
      </c>
      <c r="C884" s="6" t="s">
        <v>3239</v>
      </c>
      <c r="D884" s="6" t="s">
        <v>25</v>
      </c>
      <c r="E884">
        <v>2</v>
      </c>
      <c r="F884">
        <v>274.12</v>
      </c>
      <c r="G884" s="6" t="s">
        <v>426</v>
      </c>
      <c r="H884" s="6" t="s">
        <v>65</v>
      </c>
      <c r="I884" s="6" t="s">
        <v>50</v>
      </c>
      <c r="J884" s="6" t="s">
        <v>3240</v>
      </c>
      <c r="K884">
        <v>6</v>
      </c>
      <c r="L884" s="6" t="s">
        <v>37</v>
      </c>
      <c r="M884" s="6" t="s">
        <v>29</v>
      </c>
      <c r="N884">
        <v>548.24</v>
      </c>
    </row>
    <row r="885" spans="1:14" x14ac:dyDescent="0.35">
      <c r="A885" s="6" t="s">
        <v>3241</v>
      </c>
      <c r="B885" s="7">
        <v>45790</v>
      </c>
      <c r="C885" s="6" t="s">
        <v>3242</v>
      </c>
      <c r="D885" s="6" t="s">
        <v>48</v>
      </c>
      <c r="E885">
        <v>5</v>
      </c>
      <c r="F885">
        <v>561.48</v>
      </c>
      <c r="G885" s="6" t="s">
        <v>3243</v>
      </c>
      <c r="H885" s="6" t="s">
        <v>27</v>
      </c>
      <c r="I885" s="6" t="s">
        <v>50</v>
      </c>
      <c r="J885" s="6" t="s">
        <v>3244</v>
      </c>
      <c r="K885">
        <v>9</v>
      </c>
      <c r="L885" s="6" t="s">
        <v>37</v>
      </c>
      <c r="M885" s="6" t="s">
        <v>45</v>
      </c>
      <c r="N885">
        <v>2807.4</v>
      </c>
    </row>
    <row r="886" spans="1:14" x14ac:dyDescent="0.35">
      <c r="A886" s="6" t="s">
        <v>3245</v>
      </c>
      <c r="B886" s="7">
        <v>45427</v>
      </c>
      <c r="C886" s="6" t="s">
        <v>3246</v>
      </c>
      <c r="D886" s="6" t="s">
        <v>41</v>
      </c>
      <c r="E886">
        <v>1</v>
      </c>
      <c r="F886">
        <v>595.54</v>
      </c>
      <c r="G886" s="6" t="s">
        <v>3247</v>
      </c>
      <c r="H886" s="6" t="s">
        <v>60</v>
      </c>
      <c r="I886" s="6" t="s">
        <v>19</v>
      </c>
      <c r="J886" s="6" t="s">
        <v>3248</v>
      </c>
      <c r="K886">
        <v>4</v>
      </c>
      <c r="L886" s="6" t="s">
        <v>4283</v>
      </c>
      <c r="M886" s="6" t="s">
        <v>22</v>
      </c>
      <c r="N886">
        <v>595.54</v>
      </c>
    </row>
    <row r="887" spans="1:14" x14ac:dyDescent="0.35">
      <c r="A887" s="6" t="s">
        <v>3249</v>
      </c>
      <c r="B887" s="7">
        <v>45389</v>
      </c>
      <c r="C887" s="6" t="s">
        <v>3250</v>
      </c>
      <c r="D887" s="6" t="s">
        <v>58</v>
      </c>
      <c r="E887">
        <v>4</v>
      </c>
      <c r="F887">
        <v>515.59</v>
      </c>
      <c r="G887" s="6" t="s">
        <v>3251</v>
      </c>
      <c r="H887" s="6" t="s">
        <v>34</v>
      </c>
      <c r="I887" s="6" t="s">
        <v>19</v>
      </c>
      <c r="J887" s="6" t="s">
        <v>3252</v>
      </c>
      <c r="K887">
        <v>7</v>
      </c>
      <c r="L887" s="6" t="s">
        <v>37</v>
      </c>
      <c r="M887" s="6" t="s">
        <v>76</v>
      </c>
      <c r="N887">
        <v>2062.36</v>
      </c>
    </row>
    <row r="888" spans="1:14" x14ac:dyDescent="0.35">
      <c r="A888" s="6" t="s">
        <v>3253</v>
      </c>
      <c r="B888" s="7">
        <v>45224</v>
      </c>
      <c r="C888" s="6" t="s">
        <v>3254</v>
      </c>
      <c r="D888" s="6" t="s">
        <v>25</v>
      </c>
      <c r="E888">
        <v>1</v>
      </c>
      <c r="F888">
        <v>460.13</v>
      </c>
      <c r="G888" s="6" t="s">
        <v>3255</v>
      </c>
      <c r="H888" s="6" t="s">
        <v>34</v>
      </c>
      <c r="I888" s="6" t="s">
        <v>43</v>
      </c>
      <c r="J888" s="6" t="s">
        <v>3256</v>
      </c>
      <c r="K888">
        <v>1</v>
      </c>
      <c r="L888" s="6" t="s">
        <v>4283</v>
      </c>
      <c r="M888" s="6" t="s">
        <v>76</v>
      </c>
      <c r="N888">
        <v>460.13</v>
      </c>
    </row>
    <row r="889" spans="1:14" x14ac:dyDescent="0.35">
      <c r="A889" s="6" t="s">
        <v>3257</v>
      </c>
      <c r="B889" s="7">
        <v>45645</v>
      </c>
      <c r="C889" s="6" t="s">
        <v>3258</v>
      </c>
      <c r="D889" s="6" t="s">
        <v>41</v>
      </c>
      <c r="E889">
        <v>3</v>
      </c>
      <c r="F889">
        <v>171.66</v>
      </c>
      <c r="G889" s="6" t="s">
        <v>3259</v>
      </c>
      <c r="H889" s="6" t="s">
        <v>18</v>
      </c>
      <c r="I889" s="6" t="s">
        <v>50</v>
      </c>
      <c r="J889" s="6" t="s">
        <v>3260</v>
      </c>
      <c r="K889">
        <v>7</v>
      </c>
      <c r="L889" s="6" t="s">
        <v>4283</v>
      </c>
      <c r="M889" s="6" t="s">
        <v>76</v>
      </c>
      <c r="N889">
        <v>514.98</v>
      </c>
    </row>
    <row r="890" spans="1:14" x14ac:dyDescent="0.35">
      <c r="A890" s="6" t="s">
        <v>3261</v>
      </c>
      <c r="B890" s="7">
        <v>45496</v>
      </c>
      <c r="C890" s="6" t="s">
        <v>3262</v>
      </c>
      <c r="D890" s="6" t="s">
        <v>58</v>
      </c>
      <c r="E890">
        <v>2</v>
      </c>
      <c r="F890">
        <v>266.95</v>
      </c>
      <c r="G890" s="6" t="s">
        <v>3263</v>
      </c>
      <c r="H890" s="6" t="s">
        <v>34</v>
      </c>
      <c r="I890" s="6" t="s">
        <v>89</v>
      </c>
      <c r="J890" s="6" t="s">
        <v>3264</v>
      </c>
      <c r="K890">
        <v>3</v>
      </c>
      <c r="L890" s="6" t="s">
        <v>4283</v>
      </c>
      <c r="M890" s="6" t="s">
        <v>22</v>
      </c>
      <c r="N890">
        <v>533.9</v>
      </c>
    </row>
    <row r="891" spans="1:14" x14ac:dyDescent="0.35">
      <c r="A891" s="6" t="s">
        <v>3265</v>
      </c>
      <c r="B891" s="7">
        <v>45592</v>
      </c>
      <c r="C891" s="6" t="s">
        <v>3266</v>
      </c>
      <c r="D891" s="6" t="s">
        <v>16</v>
      </c>
      <c r="E891">
        <v>5</v>
      </c>
      <c r="F891">
        <v>650.72</v>
      </c>
      <c r="G891" s="6" t="s">
        <v>3267</v>
      </c>
      <c r="H891" s="6" t="s">
        <v>34</v>
      </c>
      <c r="I891" s="6" t="s">
        <v>35</v>
      </c>
      <c r="J891" s="6" t="s">
        <v>3268</v>
      </c>
      <c r="K891">
        <v>8</v>
      </c>
      <c r="L891" s="6" t="s">
        <v>81</v>
      </c>
      <c r="M891" s="6" t="s">
        <v>38</v>
      </c>
      <c r="N891">
        <v>3253.6</v>
      </c>
    </row>
    <row r="892" spans="1:14" x14ac:dyDescent="0.35">
      <c r="A892" s="6" t="s">
        <v>3269</v>
      </c>
      <c r="B892" s="7">
        <v>45149</v>
      </c>
      <c r="C892" s="6" t="s">
        <v>3270</v>
      </c>
      <c r="D892" s="6" t="s">
        <v>58</v>
      </c>
      <c r="E892">
        <v>3</v>
      </c>
      <c r="F892">
        <v>439.53</v>
      </c>
      <c r="G892" s="6" t="s">
        <v>1849</v>
      </c>
      <c r="H892" s="6" t="s">
        <v>18</v>
      </c>
      <c r="I892" s="6" t="s">
        <v>89</v>
      </c>
      <c r="J892" s="6" t="s">
        <v>3271</v>
      </c>
      <c r="K892">
        <v>5</v>
      </c>
      <c r="L892" s="6" t="s">
        <v>4283</v>
      </c>
      <c r="M892" s="6" t="s">
        <v>76</v>
      </c>
      <c r="N892">
        <v>1318.59</v>
      </c>
    </row>
    <row r="893" spans="1:14" x14ac:dyDescent="0.35">
      <c r="A893" s="6" t="s">
        <v>3272</v>
      </c>
      <c r="B893" s="7">
        <v>45241</v>
      </c>
      <c r="C893" s="6" t="s">
        <v>3273</v>
      </c>
      <c r="D893" s="6" t="s">
        <v>16</v>
      </c>
      <c r="E893">
        <v>3</v>
      </c>
      <c r="F893">
        <v>654.54</v>
      </c>
      <c r="G893" s="6" t="s">
        <v>3274</v>
      </c>
      <c r="H893" s="6" t="s">
        <v>65</v>
      </c>
      <c r="I893" s="6" t="s">
        <v>43</v>
      </c>
      <c r="J893" s="6" t="s">
        <v>3275</v>
      </c>
      <c r="K893">
        <v>7</v>
      </c>
      <c r="L893" s="6" t="s">
        <v>21</v>
      </c>
      <c r="M893" s="6" t="s">
        <v>29</v>
      </c>
      <c r="N893">
        <v>1963.62</v>
      </c>
    </row>
    <row r="894" spans="1:14" x14ac:dyDescent="0.35">
      <c r="A894" s="6" t="s">
        <v>3276</v>
      </c>
      <c r="B894" s="7">
        <v>45447</v>
      </c>
      <c r="C894" s="6" t="s">
        <v>3277</v>
      </c>
      <c r="D894" s="6" t="s">
        <v>73</v>
      </c>
      <c r="E894">
        <v>1</v>
      </c>
      <c r="F894">
        <v>394.53</v>
      </c>
      <c r="G894" s="6" t="s">
        <v>3278</v>
      </c>
      <c r="H894" s="6" t="s">
        <v>65</v>
      </c>
      <c r="I894" s="6" t="s">
        <v>19</v>
      </c>
      <c r="J894" s="6" t="s">
        <v>3279</v>
      </c>
      <c r="K894">
        <v>2</v>
      </c>
      <c r="L894" s="6" t="s">
        <v>37</v>
      </c>
      <c r="M894" s="6" t="s">
        <v>29</v>
      </c>
      <c r="N894">
        <v>394.53</v>
      </c>
    </row>
    <row r="895" spans="1:14" x14ac:dyDescent="0.35">
      <c r="A895" s="6" t="s">
        <v>3280</v>
      </c>
      <c r="B895" s="7">
        <v>45006</v>
      </c>
      <c r="C895" s="6" t="s">
        <v>3281</v>
      </c>
      <c r="D895" s="6" t="s">
        <v>16</v>
      </c>
      <c r="E895">
        <v>1</v>
      </c>
      <c r="F895">
        <v>678.01</v>
      </c>
      <c r="G895" s="6" t="s">
        <v>1945</v>
      </c>
      <c r="H895" s="6" t="s">
        <v>65</v>
      </c>
      <c r="I895" s="6" t="s">
        <v>89</v>
      </c>
      <c r="J895" s="6" t="s">
        <v>3282</v>
      </c>
      <c r="K895">
        <v>4</v>
      </c>
      <c r="L895" s="6" t="s">
        <v>37</v>
      </c>
      <c r="M895" s="6" t="s">
        <v>29</v>
      </c>
      <c r="N895">
        <v>678.01</v>
      </c>
    </row>
    <row r="896" spans="1:14" x14ac:dyDescent="0.35">
      <c r="A896" s="6" t="s">
        <v>3283</v>
      </c>
      <c r="B896" s="7">
        <v>45069</v>
      </c>
      <c r="C896" s="6" t="s">
        <v>3284</v>
      </c>
      <c r="D896" s="6" t="s">
        <v>32</v>
      </c>
      <c r="E896">
        <v>3</v>
      </c>
      <c r="F896">
        <v>575.01</v>
      </c>
      <c r="G896" s="6" t="s">
        <v>2062</v>
      </c>
      <c r="H896" s="6" t="s">
        <v>27</v>
      </c>
      <c r="I896" s="6" t="s">
        <v>35</v>
      </c>
      <c r="J896" s="6" t="s">
        <v>3285</v>
      </c>
      <c r="K896">
        <v>8</v>
      </c>
      <c r="L896" s="6" t="s">
        <v>81</v>
      </c>
      <c r="M896" s="6" t="s">
        <v>22</v>
      </c>
      <c r="N896">
        <v>1725.03</v>
      </c>
    </row>
    <row r="897" spans="1:14" x14ac:dyDescent="0.35">
      <c r="A897" s="6" t="s">
        <v>3286</v>
      </c>
      <c r="B897" s="7">
        <v>45239</v>
      </c>
      <c r="C897" s="6" t="s">
        <v>3287</v>
      </c>
      <c r="D897" s="6" t="s">
        <v>41</v>
      </c>
      <c r="E897">
        <v>3</v>
      </c>
      <c r="F897">
        <v>154.63999999999999</v>
      </c>
      <c r="G897" s="6" t="s">
        <v>3288</v>
      </c>
      <c r="H897" s="6" t="s">
        <v>18</v>
      </c>
      <c r="I897" s="6" t="s">
        <v>89</v>
      </c>
      <c r="J897" s="6" t="s">
        <v>3289</v>
      </c>
      <c r="K897">
        <v>6</v>
      </c>
      <c r="L897" s="6" t="s">
        <v>81</v>
      </c>
      <c r="M897" s="6" t="s">
        <v>45</v>
      </c>
      <c r="N897">
        <v>463.92</v>
      </c>
    </row>
    <row r="898" spans="1:14" x14ac:dyDescent="0.35">
      <c r="A898" s="6" t="s">
        <v>3290</v>
      </c>
      <c r="B898" s="7">
        <v>45583</v>
      </c>
      <c r="C898" s="6" t="s">
        <v>3291</v>
      </c>
      <c r="D898" s="6" t="s">
        <v>73</v>
      </c>
      <c r="E898">
        <v>3</v>
      </c>
      <c r="F898">
        <v>147.29</v>
      </c>
      <c r="G898" s="6" t="s">
        <v>74</v>
      </c>
      <c r="H898" s="6" t="s">
        <v>60</v>
      </c>
      <c r="I898" s="6" t="s">
        <v>19</v>
      </c>
      <c r="J898" s="6" t="s">
        <v>3292</v>
      </c>
      <c r="K898">
        <v>3</v>
      </c>
      <c r="L898" s="6" t="s">
        <v>37</v>
      </c>
      <c r="M898" s="6" t="s">
        <v>76</v>
      </c>
      <c r="N898">
        <v>441.87</v>
      </c>
    </row>
    <row r="899" spans="1:14" x14ac:dyDescent="0.35">
      <c r="A899" s="6" t="s">
        <v>3293</v>
      </c>
      <c r="B899" s="7">
        <v>45538</v>
      </c>
      <c r="C899" s="6" t="s">
        <v>3294</v>
      </c>
      <c r="D899" s="6" t="s">
        <v>58</v>
      </c>
      <c r="E899">
        <v>4</v>
      </c>
      <c r="F899">
        <v>481.48</v>
      </c>
      <c r="G899" s="6" t="s">
        <v>817</v>
      </c>
      <c r="H899" s="6" t="s">
        <v>60</v>
      </c>
      <c r="I899" s="6" t="s">
        <v>50</v>
      </c>
      <c r="J899" s="6" t="s">
        <v>3295</v>
      </c>
      <c r="K899">
        <v>5</v>
      </c>
      <c r="L899" s="6" t="s">
        <v>21</v>
      </c>
      <c r="M899" s="6" t="s">
        <v>22</v>
      </c>
      <c r="N899">
        <v>1925.92</v>
      </c>
    </row>
    <row r="900" spans="1:14" x14ac:dyDescent="0.35">
      <c r="A900" s="6" t="s">
        <v>3296</v>
      </c>
      <c r="B900" s="7">
        <v>45721</v>
      </c>
      <c r="C900" s="6" t="s">
        <v>3297</v>
      </c>
      <c r="D900" s="6" t="s">
        <v>16</v>
      </c>
      <c r="E900">
        <v>3</v>
      </c>
      <c r="F900">
        <v>158.37</v>
      </c>
      <c r="G900" s="6" t="s">
        <v>3100</v>
      </c>
      <c r="H900" s="6" t="s">
        <v>65</v>
      </c>
      <c r="I900" s="6" t="s">
        <v>19</v>
      </c>
      <c r="J900" s="6" t="s">
        <v>3298</v>
      </c>
      <c r="K900">
        <v>6</v>
      </c>
      <c r="L900" s="6" t="s">
        <v>4283</v>
      </c>
      <c r="M900" s="6" t="s">
        <v>29</v>
      </c>
      <c r="N900">
        <v>475.11</v>
      </c>
    </row>
    <row r="901" spans="1:14" x14ac:dyDescent="0.35">
      <c r="A901" s="6" t="s">
        <v>3299</v>
      </c>
      <c r="B901" s="7">
        <v>45770</v>
      </c>
      <c r="C901" s="6" t="s">
        <v>3300</v>
      </c>
      <c r="D901" s="6" t="s">
        <v>48</v>
      </c>
      <c r="E901">
        <v>2</v>
      </c>
      <c r="F901">
        <v>323.37</v>
      </c>
      <c r="G901" s="6" t="s">
        <v>312</v>
      </c>
      <c r="H901" s="6" t="s">
        <v>27</v>
      </c>
      <c r="I901" s="6" t="s">
        <v>89</v>
      </c>
      <c r="J901" s="6" t="s">
        <v>3301</v>
      </c>
      <c r="K901">
        <v>3</v>
      </c>
      <c r="L901" s="6" t="s">
        <v>21</v>
      </c>
      <c r="M901" s="6" t="s">
        <v>22</v>
      </c>
      <c r="N901">
        <v>646.74</v>
      </c>
    </row>
    <row r="902" spans="1:14" x14ac:dyDescent="0.35">
      <c r="A902" s="6" t="s">
        <v>3302</v>
      </c>
      <c r="B902" s="7">
        <v>45695</v>
      </c>
      <c r="C902" s="6" t="s">
        <v>3303</v>
      </c>
      <c r="D902" s="6" t="s">
        <v>58</v>
      </c>
      <c r="E902">
        <v>5</v>
      </c>
      <c r="F902">
        <v>73.83</v>
      </c>
      <c r="G902" s="6" t="s">
        <v>1996</v>
      </c>
      <c r="H902" s="6" t="s">
        <v>18</v>
      </c>
      <c r="I902" s="6" t="s">
        <v>89</v>
      </c>
      <c r="J902" s="6" t="s">
        <v>3304</v>
      </c>
      <c r="K902">
        <v>9</v>
      </c>
      <c r="L902" s="6" t="s">
        <v>4283</v>
      </c>
      <c r="M902" s="6" t="s">
        <v>22</v>
      </c>
      <c r="N902">
        <v>369.15</v>
      </c>
    </row>
    <row r="903" spans="1:14" x14ac:dyDescent="0.35">
      <c r="A903" s="6" t="s">
        <v>3305</v>
      </c>
      <c r="B903" s="7">
        <v>45410</v>
      </c>
      <c r="C903" s="6" t="s">
        <v>3306</v>
      </c>
      <c r="D903" s="6" t="s">
        <v>32</v>
      </c>
      <c r="E903">
        <v>1</v>
      </c>
      <c r="F903">
        <v>458.63</v>
      </c>
      <c r="G903" s="6" t="s">
        <v>415</v>
      </c>
      <c r="H903" s="6" t="s">
        <v>18</v>
      </c>
      <c r="I903" s="6" t="s">
        <v>43</v>
      </c>
      <c r="J903" s="6" t="s">
        <v>3307</v>
      </c>
      <c r="K903">
        <v>4</v>
      </c>
      <c r="L903" s="6" t="s">
        <v>81</v>
      </c>
      <c r="M903" s="6" t="s">
        <v>29</v>
      </c>
      <c r="N903">
        <v>458.63</v>
      </c>
    </row>
    <row r="904" spans="1:14" x14ac:dyDescent="0.35">
      <c r="A904" s="6" t="s">
        <v>3308</v>
      </c>
      <c r="B904" s="7">
        <v>45486</v>
      </c>
      <c r="C904" s="6" t="s">
        <v>3309</v>
      </c>
      <c r="D904" s="6" t="s">
        <v>16</v>
      </c>
      <c r="E904">
        <v>4</v>
      </c>
      <c r="F904">
        <v>180.25</v>
      </c>
      <c r="G904" s="6" t="s">
        <v>289</v>
      </c>
      <c r="H904" s="6" t="s">
        <v>18</v>
      </c>
      <c r="I904" s="6" t="s">
        <v>35</v>
      </c>
      <c r="J904" s="6" t="s">
        <v>3310</v>
      </c>
      <c r="K904">
        <v>7</v>
      </c>
      <c r="L904" s="6" t="s">
        <v>4283</v>
      </c>
      <c r="M904" s="6" t="s">
        <v>45</v>
      </c>
      <c r="N904">
        <v>721</v>
      </c>
    </row>
    <row r="905" spans="1:14" x14ac:dyDescent="0.35">
      <c r="A905" s="6" t="s">
        <v>3311</v>
      </c>
      <c r="B905" s="7">
        <v>45063</v>
      </c>
      <c r="C905" s="6" t="s">
        <v>3312</v>
      </c>
      <c r="D905" s="6" t="s">
        <v>16</v>
      </c>
      <c r="E905">
        <v>3</v>
      </c>
      <c r="F905">
        <v>473.49</v>
      </c>
      <c r="G905" s="6" t="s">
        <v>2965</v>
      </c>
      <c r="H905" s="6" t="s">
        <v>34</v>
      </c>
      <c r="I905" s="6" t="s">
        <v>89</v>
      </c>
      <c r="J905" s="6" t="s">
        <v>3313</v>
      </c>
      <c r="K905">
        <v>7</v>
      </c>
      <c r="L905" s="6" t="s">
        <v>4283</v>
      </c>
      <c r="M905" s="6" t="s">
        <v>38</v>
      </c>
      <c r="N905">
        <v>1420.47</v>
      </c>
    </row>
    <row r="906" spans="1:14" x14ac:dyDescent="0.35">
      <c r="A906" s="6" t="s">
        <v>3314</v>
      </c>
      <c r="B906" s="7">
        <v>45693</v>
      </c>
      <c r="C906" s="6" t="s">
        <v>3315</v>
      </c>
      <c r="D906" s="6" t="s">
        <v>16</v>
      </c>
      <c r="E906">
        <v>4</v>
      </c>
      <c r="F906">
        <v>237.43</v>
      </c>
      <c r="G906" s="6" t="s">
        <v>1727</v>
      </c>
      <c r="H906" s="6" t="s">
        <v>65</v>
      </c>
      <c r="I906" s="6" t="s">
        <v>35</v>
      </c>
      <c r="J906" s="6" t="s">
        <v>3316</v>
      </c>
      <c r="K906">
        <v>8</v>
      </c>
      <c r="L906" s="6" t="s">
        <v>81</v>
      </c>
      <c r="M906" s="6" t="s">
        <v>29</v>
      </c>
      <c r="N906">
        <v>949.72</v>
      </c>
    </row>
    <row r="907" spans="1:14" x14ac:dyDescent="0.35">
      <c r="A907" s="6" t="s">
        <v>3317</v>
      </c>
      <c r="B907" s="7">
        <v>45253</v>
      </c>
      <c r="C907" s="6" t="s">
        <v>3318</v>
      </c>
      <c r="D907" s="6" t="s">
        <v>58</v>
      </c>
      <c r="E907">
        <v>1</v>
      </c>
      <c r="F907">
        <v>442.39</v>
      </c>
      <c r="G907" s="6" t="s">
        <v>1256</v>
      </c>
      <c r="H907" s="6" t="s">
        <v>60</v>
      </c>
      <c r="I907" s="6" t="s">
        <v>89</v>
      </c>
      <c r="J907" s="6" t="s">
        <v>3319</v>
      </c>
      <c r="K907">
        <v>6</v>
      </c>
      <c r="L907" s="6" t="s">
        <v>37</v>
      </c>
      <c r="M907" s="6" t="s">
        <v>45</v>
      </c>
      <c r="N907">
        <v>442.39</v>
      </c>
    </row>
    <row r="908" spans="1:14" x14ac:dyDescent="0.35">
      <c r="A908" s="6" t="s">
        <v>3320</v>
      </c>
      <c r="B908" s="7">
        <v>45538</v>
      </c>
      <c r="C908" s="6" t="s">
        <v>3321</v>
      </c>
      <c r="D908" s="6" t="s">
        <v>16</v>
      </c>
      <c r="E908">
        <v>1</v>
      </c>
      <c r="F908">
        <v>62.12</v>
      </c>
      <c r="G908" s="6" t="s">
        <v>3322</v>
      </c>
      <c r="H908" s="6" t="s">
        <v>65</v>
      </c>
      <c r="I908" s="6" t="s">
        <v>43</v>
      </c>
      <c r="J908" s="6" t="s">
        <v>3323</v>
      </c>
      <c r="K908">
        <v>2</v>
      </c>
      <c r="L908" s="6" t="s">
        <v>4283</v>
      </c>
      <c r="M908" s="6" t="s">
        <v>38</v>
      </c>
      <c r="N908">
        <v>62.12</v>
      </c>
    </row>
    <row r="909" spans="1:14" x14ac:dyDescent="0.35">
      <c r="A909" s="6" t="s">
        <v>3324</v>
      </c>
      <c r="B909" s="7">
        <v>45508</v>
      </c>
      <c r="C909" s="6" t="s">
        <v>3325</v>
      </c>
      <c r="D909" s="6" t="s">
        <v>73</v>
      </c>
      <c r="E909">
        <v>5</v>
      </c>
      <c r="F909">
        <v>298.39</v>
      </c>
      <c r="G909" s="6" t="s">
        <v>561</v>
      </c>
      <c r="H909" s="6" t="s">
        <v>60</v>
      </c>
      <c r="I909" s="6" t="s">
        <v>35</v>
      </c>
      <c r="J909" s="6" t="s">
        <v>3326</v>
      </c>
      <c r="K909">
        <v>7</v>
      </c>
      <c r="L909" s="6" t="s">
        <v>81</v>
      </c>
      <c r="M909" s="6" t="s">
        <v>29</v>
      </c>
      <c r="N909">
        <v>1491.95</v>
      </c>
    </row>
    <row r="910" spans="1:14" x14ac:dyDescent="0.35">
      <c r="A910" s="6" t="s">
        <v>3327</v>
      </c>
      <c r="B910" s="7">
        <v>45783</v>
      </c>
      <c r="C910" s="6" t="s">
        <v>3328</v>
      </c>
      <c r="D910" s="6" t="s">
        <v>73</v>
      </c>
      <c r="E910">
        <v>2</v>
      </c>
      <c r="F910">
        <v>697.93</v>
      </c>
      <c r="G910" s="6" t="s">
        <v>723</v>
      </c>
      <c r="H910" s="6" t="s">
        <v>34</v>
      </c>
      <c r="I910" s="6" t="s">
        <v>35</v>
      </c>
      <c r="J910" s="6" t="s">
        <v>3329</v>
      </c>
      <c r="K910">
        <v>2</v>
      </c>
      <c r="L910" s="6" t="s">
        <v>21</v>
      </c>
      <c r="M910" s="6" t="s">
        <v>76</v>
      </c>
      <c r="N910">
        <v>1395.86</v>
      </c>
    </row>
    <row r="911" spans="1:14" x14ac:dyDescent="0.35">
      <c r="A911" s="6" t="s">
        <v>3330</v>
      </c>
      <c r="B911" s="7">
        <v>45439</v>
      </c>
      <c r="C911" s="6" t="s">
        <v>3331</v>
      </c>
      <c r="D911" s="6" t="s">
        <v>32</v>
      </c>
      <c r="E911">
        <v>2</v>
      </c>
      <c r="F911">
        <v>291.85000000000002</v>
      </c>
      <c r="G911" s="6" t="s">
        <v>125</v>
      </c>
      <c r="H911" s="6" t="s">
        <v>65</v>
      </c>
      <c r="I911" s="6" t="s">
        <v>19</v>
      </c>
      <c r="J911" s="6" t="s">
        <v>3332</v>
      </c>
      <c r="K911">
        <v>5</v>
      </c>
      <c r="L911" s="6" t="s">
        <v>37</v>
      </c>
      <c r="M911" s="6" t="s">
        <v>22</v>
      </c>
      <c r="N911">
        <v>583.70000000000005</v>
      </c>
    </row>
    <row r="912" spans="1:14" x14ac:dyDescent="0.35">
      <c r="A912" s="6" t="s">
        <v>3333</v>
      </c>
      <c r="B912" s="7">
        <v>45443</v>
      </c>
      <c r="C912" s="6" t="s">
        <v>3334</v>
      </c>
      <c r="D912" s="6" t="s">
        <v>48</v>
      </c>
      <c r="E912">
        <v>3</v>
      </c>
      <c r="F912">
        <v>308.98</v>
      </c>
      <c r="G912" s="6" t="s">
        <v>343</v>
      </c>
      <c r="H912" s="6" t="s">
        <v>65</v>
      </c>
      <c r="I912" s="6" t="s">
        <v>50</v>
      </c>
      <c r="J912" s="6" t="s">
        <v>3335</v>
      </c>
      <c r="K912">
        <v>3</v>
      </c>
      <c r="L912" s="6" t="s">
        <v>21</v>
      </c>
      <c r="M912" s="6" t="s">
        <v>22</v>
      </c>
      <c r="N912">
        <v>926.94</v>
      </c>
    </row>
    <row r="913" spans="1:14" x14ac:dyDescent="0.35">
      <c r="A913" s="6" t="s">
        <v>3336</v>
      </c>
      <c r="B913" s="7">
        <v>45517</v>
      </c>
      <c r="C913" s="6" t="s">
        <v>3337</v>
      </c>
      <c r="D913" s="6" t="s">
        <v>73</v>
      </c>
      <c r="E913">
        <v>5</v>
      </c>
      <c r="F913">
        <v>396.86</v>
      </c>
      <c r="G913" s="6" t="s">
        <v>502</v>
      </c>
      <c r="H913" s="6" t="s">
        <v>65</v>
      </c>
      <c r="I913" s="6" t="s">
        <v>35</v>
      </c>
      <c r="J913" s="6" t="s">
        <v>3338</v>
      </c>
      <c r="K913">
        <v>9</v>
      </c>
      <c r="L913" s="6" t="s">
        <v>21</v>
      </c>
      <c r="M913" s="6" t="s">
        <v>22</v>
      </c>
      <c r="N913">
        <v>1984.3</v>
      </c>
    </row>
    <row r="914" spans="1:14" x14ac:dyDescent="0.35">
      <c r="A914" s="6" t="s">
        <v>3339</v>
      </c>
      <c r="B914" s="7">
        <v>45313</v>
      </c>
      <c r="C914" s="6" t="s">
        <v>3340</v>
      </c>
      <c r="D914" s="6" t="s">
        <v>73</v>
      </c>
      <c r="E914">
        <v>2</v>
      </c>
      <c r="F914">
        <v>139.69</v>
      </c>
      <c r="G914" s="6" t="s">
        <v>387</v>
      </c>
      <c r="H914" s="6" t="s">
        <v>27</v>
      </c>
      <c r="I914" s="6" t="s">
        <v>43</v>
      </c>
      <c r="J914" s="6" t="s">
        <v>3341</v>
      </c>
      <c r="K914">
        <v>7</v>
      </c>
      <c r="L914" s="6" t="s">
        <v>37</v>
      </c>
      <c r="M914" s="6" t="s">
        <v>38</v>
      </c>
      <c r="N914">
        <v>279.38</v>
      </c>
    </row>
    <row r="915" spans="1:14" x14ac:dyDescent="0.35">
      <c r="A915" s="6" t="s">
        <v>3342</v>
      </c>
      <c r="B915" s="7">
        <v>44973</v>
      </c>
      <c r="C915" s="6" t="s">
        <v>3343</v>
      </c>
      <c r="D915" s="6" t="s">
        <v>48</v>
      </c>
      <c r="E915">
        <v>5</v>
      </c>
      <c r="F915">
        <v>475.95</v>
      </c>
      <c r="G915" s="6" t="s">
        <v>787</v>
      </c>
      <c r="H915" s="6" t="s">
        <v>34</v>
      </c>
      <c r="I915" s="6" t="s">
        <v>43</v>
      </c>
      <c r="J915" s="6" t="s">
        <v>3344</v>
      </c>
      <c r="K915">
        <v>8</v>
      </c>
      <c r="L915" s="6" t="s">
        <v>81</v>
      </c>
      <c r="M915" s="6" t="s">
        <v>45</v>
      </c>
      <c r="N915">
        <v>2379.75</v>
      </c>
    </row>
    <row r="916" spans="1:14" x14ac:dyDescent="0.35">
      <c r="A916" s="6" t="s">
        <v>3345</v>
      </c>
      <c r="B916" s="7">
        <v>45698</v>
      </c>
      <c r="C916" s="6" t="s">
        <v>3346</v>
      </c>
      <c r="D916" s="6" t="s">
        <v>73</v>
      </c>
      <c r="E916">
        <v>1</v>
      </c>
      <c r="F916">
        <v>626.6</v>
      </c>
      <c r="G916" s="6" t="s">
        <v>1693</v>
      </c>
      <c r="H916" s="6" t="s">
        <v>60</v>
      </c>
      <c r="I916" s="6" t="s">
        <v>43</v>
      </c>
      <c r="J916" s="6" t="s">
        <v>3347</v>
      </c>
      <c r="K916">
        <v>4</v>
      </c>
      <c r="L916" s="6" t="s">
        <v>81</v>
      </c>
      <c r="M916" s="6" t="s">
        <v>45</v>
      </c>
      <c r="N916">
        <v>626.6</v>
      </c>
    </row>
    <row r="917" spans="1:14" x14ac:dyDescent="0.35">
      <c r="A917" s="6" t="s">
        <v>3348</v>
      </c>
      <c r="B917" s="7">
        <v>45338</v>
      </c>
      <c r="C917" s="6" t="s">
        <v>3349</v>
      </c>
      <c r="D917" s="6" t="s">
        <v>58</v>
      </c>
      <c r="E917">
        <v>4</v>
      </c>
      <c r="F917">
        <v>502.99</v>
      </c>
      <c r="G917" s="6" t="s">
        <v>3350</v>
      </c>
      <c r="H917" s="6" t="s">
        <v>18</v>
      </c>
      <c r="I917" s="6" t="s">
        <v>19</v>
      </c>
      <c r="J917" s="6" t="s">
        <v>3351</v>
      </c>
      <c r="K917">
        <v>4</v>
      </c>
      <c r="L917" s="6" t="s">
        <v>81</v>
      </c>
      <c r="M917" s="6" t="s">
        <v>29</v>
      </c>
      <c r="N917">
        <v>2011.96</v>
      </c>
    </row>
    <row r="918" spans="1:14" x14ac:dyDescent="0.35">
      <c r="A918" s="6" t="s">
        <v>3352</v>
      </c>
      <c r="B918" s="7">
        <v>45464</v>
      </c>
      <c r="C918" s="6" t="s">
        <v>3353</v>
      </c>
      <c r="D918" s="6" t="s">
        <v>48</v>
      </c>
      <c r="E918">
        <v>5</v>
      </c>
      <c r="F918">
        <v>578.83000000000004</v>
      </c>
      <c r="G918" s="6" t="s">
        <v>2845</v>
      </c>
      <c r="H918" s="6" t="s">
        <v>65</v>
      </c>
      <c r="I918" s="6" t="s">
        <v>43</v>
      </c>
      <c r="J918" s="6" t="s">
        <v>3354</v>
      </c>
      <c r="K918">
        <v>6</v>
      </c>
      <c r="L918" s="6" t="s">
        <v>4283</v>
      </c>
      <c r="M918" s="6" t="s">
        <v>29</v>
      </c>
      <c r="N918">
        <v>2894.15</v>
      </c>
    </row>
    <row r="919" spans="1:14" x14ac:dyDescent="0.35">
      <c r="A919" s="6" t="s">
        <v>3355</v>
      </c>
      <c r="B919" s="7">
        <v>45677</v>
      </c>
      <c r="C919" s="6" t="s">
        <v>3356</v>
      </c>
      <c r="D919" s="6" t="s">
        <v>58</v>
      </c>
      <c r="E919">
        <v>5</v>
      </c>
      <c r="F919">
        <v>383.82</v>
      </c>
      <c r="G919" s="6" t="s">
        <v>3357</v>
      </c>
      <c r="H919" s="6" t="s">
        <v>34</v>
      </c>
      <c r="I919" s="6" t="s">
        <v>43</v>
      </c>
      <c r="J919" s="6" t="s">
        <v>3358</v>
      </c>
      <c r="K919">
        <v>7</v>
      </c>
      <c r="L919" s="6" t="s">
        <v>37</v>
      </c>
      <c r="M919" s="6" t="s">
        <v>76</v>
      </c>
      <c r="N919">
        <v>1919.1</v>
      </c>
    </row>
    <row r="920" spans="1:14" x14ac:dyDescent="0.35">
      <c r="A920" s="6" t="s">
        <v>3359</v>
      </c>
      <c r="B920" s="7">
        <v>45832</v>
      </c>
      <c r="C920" s="6" t="s">
        <v>3360</v>
      </c>
      <c r="D920" s="6" t="s">
        <v>58</v>
      </c>
      <c r="E920">
        <v>5</v>
      </c>
      <c r="F920">
        <v>368.25</v>
      </c>
      <c r="G920" s="6" t="s">
        <v>64</v>
      </c>
      <c r="H920" s="6" t="s">
        <v>27</v>
      </c>
      <c r="I920" s="6" t="s">
        <v>50</v>
      </c>
      <c r="J920" s="6" t="s">
        <v>3361</v>
      </c>
      <c r="K920">
        <v>5</v>
      </c>
      <c r="L920" s="6" t="s">
        <v>4283</v>
      </c>
      <c r="M920" s="6" t="s">
        <v>22</v>
      </c>
      <c r="N920">
        <v>1841.25</v>
      </c>
    </row>
    <row r="921" spans="1:14" x14ac:dyDescent="0.35">
      <c r="A921" s="6" t="s">
        <v>3362</v>
      </c>
      <c r="B921" s="7">
        <v>45695</v>
      </c>
      <c r="C921" s="6" t="s">
        <v>3363</v>
      </c>
      <c r="D921" s="6" t="s">
        <v>48</v>
      </c>
      <c r="E921">
        <v>2</v>
      </c>
      <c r="F921">
        <v>374.6</v>
      </c>
      <c r="G921" s="6" t="s">
        <v>510</v>
      </c>
      <c r="H921" s="6" t="s">
        <v>27</v>
      </c>
      <c r="I921" s="6" t="s">
        <v>19</v>
      </c>
      <c r="J921" s="6" t="s">
        <v>3364</v>
      </c>
      <c r="K921">
        <v>3</v>
      </c>
      <c r="L921" s="6" t="s">
        <v>37</v>
      </c>
      <c r="M921" s="6" t="s">
        <v>29</v>
      </c>
      <c r="N921">
        <v>749.2</v>
      </c>
    </row>
    <row r="922" spans="1:14" x14ac:dyDescent="0.35">
      <c r="A922" s="6" t="s">
        <v>3365</v>
      </c>
      <c r="B922" s="7">
        <v>45728</v>
      </c>
      <c r="C922" s="6" t="s">
        <v>3366</v>
      </c>
      <c r="D922" s="6" t="s">
        <v>32</v>
      </c>
      <c r="E922">
        <v>2</v>
      </c>
      <c r="F922">
        <v>428.09</v>
      </c>
      <c r="G922" s="6" t="s">
        <v>1244</v>
      </c>
      <c r="H922" s="6" t="s">
        <v>34</v>
      </c>
      <c r="I922" s="6" t="s">
        <v>43</v>
      </c>
      <c r="J922" s="6" t="s">
        <v>3367</v>
      </c>
      <c r="K922">
        <v>6</v>
      </c>
      <c r="L922" s="6" t="s">
        <v>4283</v>
      </c>
      <c r="M922" s="6" t="s">
        <v>22</v>
      </c>
      <c r="N922">
        <v>856.18</v>
      </c>
    </row>
    <row r="923" spans="1:14" x14ac:dyDescent="0.35">
      <c r="A923" s="6" t="s">
        <v>3368</v>
      </c>
      <c r="B923" s="7">
        <v>45131</v>
      </c>
      <c r="C923" s="6" t="s">
        <v>3369</v>
      </c>
      <c r="D923" s="6" t="s">
        <v>32</v>
      </c>
      <c r="E923">
        <v>1</v>
      </c>
      <c r="F923">
        <v>438.93</v>
      </c>
      <c r="G923" s="6" t="s">
        <v>3370</v>
      </c>
      <c r="H923" s="6" t="s">
        <v>60</v>
      </c>
      <c r="I923" s="6" t="s">
        <v>35</v>
      </c>
      <c r="J923" s="6" t="s">
        <v>3371</v>
      </c>
      <c r="K923">
        <v>3</v>
      </c>
      <c r="L923" s="6" t="s">
        <v>21</v>
      </c>
      <c r="M923" s="6" t="s">
        <v>29</v>
      </c>
      <c r="N923">
        <v>438.93</v>
      </c>
    </row>
    <row r="924" spans="1:14" x14ac:dyDescent="0.35">
      <c r="A924" s="6" t="s">
        <v>3372</v>
      </c>
      <c r="B924" s="7">
        <v>45460</v>
      </c>
      <c r="C924" s="6" t="s">
        <v>3373</v>
      </c>
      <c r="D924" s="6" t="s">
        <v>73</v>
      </c>
      <c r="E924">
        <v>2</v>
      </c>
      <c r="F924">
        <v>563.82000000000005</v>
      </c>
      <c r="G924" s="6" t="s">
        <v>3374</v>
      </c>
      <c r="H924" s="6" t="s">
        <v>34</v>
      </c>
      <c r="I924" s="6" t="s">
        <v>89</v>
      </c>
      <c r="J924" s="6" t="s">
        <v>3375</v>
      </c>
      <c r="K924">
        <v>3</v>
      </c>
      <c r="L924" s="6" t="s">
        <v>4283</v>
      </c>
      <c r="M924" s="6" t="s">
        <v>22</v>
      </c>
      <c r="N924">
        <v>1127.6400000000001</v>
      </c>
    </row>
    <row r="925" spans="1:14" x14ac:dyDescent="0.35">
      <c r="A925" s="6" t="s">
        <v>3376</v>
      </c>
      <c r="B925" s="7">
        <v>44968</v>
      </c>
      <c r="C925" s="6" t="s">
        <v>3377</v>
      </c>
      <c r="D925" s="6" t="s">
        <v>48</v>
      </c>
      <c r="E925">
        <v>3</v>
      </c>
      <c r="F925">
        <v>649.92999999999995</v>
      </c>
      <c r="G925" s="6" t="s">
        <v>3357</v>
      </c>
      <c r="H925" s="6" t="s">
        <v>34</v>
      </c>
      <c r="I925" s="6" t="s">
        <v>89</v>
      </c>
      <c r="J925" s="6" t="s">
        <v>3378</v>
      </c>
      <c r="K925">
        <v>7</v>
      </c>
      <c r="L925" s="6" t="s">
        <v>81</v>
      </c>
      <c r="M925" s="6" t="s">
        <v>45</v>
      </c>
      <c r="N925">
        <v>1949.79</v>
      </c>
    </row>
    <row r="926" spans="1:14" x14ac:dyDescent="0.35">
      <c r="A926" s="6" t="s">
        <v>3379</v>
      </c>
      <c r="B926" s="7">
        <v>45738</v>
      </c>
      <c r="C926" s="6" t="s">
        <v>3380</v>
      </c>
      <c r="D926" s="6" t="s">
        <v>48</v>
      </c>
      <c r="E926">
        <v>5</v>
      </c>
      <c r="F926">
        <v>268.43</v>
      </c>
      <c r="G926" s="6" t="s">
        <v>1996</v>
      </c>
      <c r="H926" s="6" t="s">
        <v>65</v>
      </c>
      <c r="I926" s="6" t="s">
        <v>43</v>
      </c>
      <c r="J926" s="6" t="s">
        <v>3381</v>
      </c>
      <c r="K926">
        <v>5</v>
      </c>
      <c r="L926" s="6" t="s">
        <v>21</v>
      </c>
      <c r="M926" s="6" t="s">
        <v>38</v>
      </c>
      <c r="N926">
        <v>1342.15</v>
      </c>
    </row>
    <row r="927" spans="1:14" x14ac:dyDescent="0.35">
      <c r="A927" s="6" t="s">
        <v>3382</v>
      </c>
      <c r="B927" s="7">
        <v>45646</v>
      </c>
      <c r="C927" s="6" t="s">
        <v>3383</v>
      </c>
      <c r="D927" s="6" t="s">
        <v>16</v>
      </c>
      <c r="E927">
        <v>5</v>
      </c>
      <c r="F927">
        <v>502.47</v>
      </c>
      <c r="G927" s="6" t="s">
        <v>1564</v>
      </c>
      <c r="H927" s="6" t="s">
        <v>27</v>
      </c>
      <c r="I927" s="6" t="s">
        <v>19</v>
      </c>
      <c r="J927" s="6" t="s">
        <v>3384</v>
      </c>
      <c r="K927">
        <v>10</v>
      </c>
      <c r="L927" s="6" t="s">
        <v>81</v>
      </c>
      <c r="M927" s="6" t="s">
        <v>38</v>
      </c>
      <c r="N927">
        <v>2512.35</v>
      </c>
    </row>
    <row r="928" spans="1:14" x14ac:dyDescent="0.35">
      <c r="A928" s="6" t="s">
        <v>3385</v>
      </c>
      <c r="B928" s="7">
        <v>45371</v>
      </c>
      <c r="C928" s="6" t="s">
        <v>3386</v>
      </c>
      <c r="D928" s="6" t="s">
        <v>73</v>
      </c>
      <c r="E928">
        <v>1</v>
      </c>
      <c r="F928">
        <v>26.95</v>
      </c>
      <c r="G928" s="6" t="s">
        <v>1815</v>
      </c>
      <c r="H928" s="6" t="s">
        <v>65</v>
      </c>
      <c r="I928" s="6" t="s">
        <v>50</v>
      </c>
      <c r="J928" s="6" t="s">
        <v>3387</v>
      </c>
      <c r="K928">
        <v>1</v>
      </c>
      <c r="L928" s="6" t="s">
        <v>81</v>
      </c>
      <c r="M928" s="6" t="s">
        <v>38</v>
      </c>
      <c r="N928">
        <v>26.95</v>
      </c>
    </row>
    <row r="929" spans="1:14" x14ac:dyDescent="0.35">
      <c r="A929" s="6" t="s">
        <v>3388</v>
      </c>
      <c r="B929" s="7">
        <v>44971</v>
      </c>
      <c r="C929" s="6" t="s">
        <v>3389</v>
      </c>
      <c r="D929" s="6" t="s">
        <v>58</v>
      </c>
      <c r="E929">
        <v>4</v>
      </c>
      <c r="F929">
        <v>64.69</v>
      </c>
      <c r="G929" s="6" t="s">
        <v>2557</v>
      </c>
      <c r="H929" s="6" t="s">
        <v>18</v>
      </c>
      <c r="I929" s="6" t="s">
        <v>19</v>
      </c>
      <c r="J929" s="6" t="s">
        <v>3390</v>
      </c>
      <c r="K929">
        <v>7</v>
      </c>
      <c r="L929" s="6" t="s">
        <v>81</v>
      </c>
      <c r="M929" s="6" t="s">
        <v>76</v>
      </c>
      <c r="N929">
        <v>258.76</v>
      </c>
    </row>
    <row r="930" spans="1:14" x14ac:dyDescent="0.35">
      <c r="A930" s="6" t="s">
        <v>3391</v>
      </c>
      <c r="B930" s="7">
        <v>45421</v>
      </c>
      <c r="C930" s="6" t="s">
        <v>3392</v>
      </c>
      <c r="D930" s="6" t="s">
        <v>58</v>
      </c>
      <c r="E930">
        <v>3</v>
      </c>
      <c r="F930">
        <v>247.11</v>
      </c>
      <c r="G930" s="6" t="s">
        <v>1015</v>
      </c>
      <c r="H930" s="6" t="s">
        <v>18</v>
      </c>
      <c r="I930" s="6" t="s">
        <v>43</v>
      </c>
      <c r="J930" s="6" t="s">
        <v>3393</v>
      </c>
      <c r="K930">
        <v>3</v>
      </c>
      <c r="L930" s="6" t="s">
        <v>81</v>
      </c>
      <c r="M930" s="6" t="s">
        <v>29</v>
      </c>
      <c r="N930">
        <v>741.33</v>
      </c>
    </row>
    <row r="931" spans="1:14" x14ac:dyDescent="0.35">
      <c r="A931" s="6" t="s">
        <v>3394</v>
      </c>
      <c r="B931" s="7">
        <v>45581</v>
      </c>
      <c r="C931" s="6" t="s">
        <v>3395</v>
      </c>
      <c r="D931" s="6" t="s">
        <v>32</v>
      </c>
      <c r="E931">
        <v>2</v>
      </c>
      <c r="F931">
        <v>536.25</v>
      </c>
      <c r="G931" s="6" t="s">
        <v>727</v>
      </c>
      <c r="H931" s="6" t="s">
        <v>18</v>
      </c>
      <c r="I931" s="6" t="s">
        <v>89</v>
      </c>
      <c r="J931" s="6" t="s">
        <v>3396</v>
      </c>
      <c r="K931">
        <v>3</v>
      </c>
      <c r="L931" s="6" t="s">
        <v>4283</v>
      </c>
      <c r="M931" s="6" t="s">
        <v>38</v>
      </c>
      <c r="N931">
        <v>1072.5</v>
      </c>
    </row>
    <row r="932" spans="1:14" x14ac:dyDescent="0.35">
      <c r="A932" s="6" t="s">
        <v>3397</v>
      </c>
      <c r="B932" s="7">
        <v>45642</v>
      </c>
      <c r="C932" s="6" t="s">
        <v>3398</v>
      </c>
      <c r="D932" s="6" t="s">
        <v>25</v>
      </c>
      <c r="E932">
        <v>2</v>
      </c>
      <c r="F932">
        <v>456.04</v>
      </c>
      <c r="G932" s="6" t="s">
        <v>109</v>
      </c>
      <c r="H932" s="6" t="s">
        <v>18</v>
      </c>
      <c r="I932" s="6" t="s">
        <v>43</v>
      </c>
      <c r="J932" s="6" t="s">
        <v>3399</v>
      </c>
      <c r="K932">
        <v>4</v>
      </c>
      <c r="L932" s="6" t="s">
        <v>37</v>
      </c>
      <c r="M932" s="6" t="s">
        <v>38</v>
      </c>
      <c r="N932">
        <v>912.08</v>
      </c>
    </row>
    <row r="933" spans="1:14" x14ac:dyDescent="0.35">
      <c r="A933" s="6" t="s">
        <v>3400</v>
      </c>
      <c r="B933" s="7">
        <v>45292</v>
      </c>
      <c r="C933" s="6" t="s">
        <v>3401</v>
      </c>
      <c r="D933" s="6" t="s">
        <v>48</v>
      </c>
      <c r="E933">
        <v>2</v>
      </c>
      <c r="F933">
        <v>40.229999999999997</v>
      </c>
      <c r="G933" s="6" t="s">
        <v>253</v>
      </c>
      <c r="H933" s="6" t="s">
        <v>34</v>
      </c>
      <c r="I933" s="6" t="s">
        <v>35</v>
      </c>
      <c r="J933" s="6" t="s">
        <v>3402</v>
      </c>
      <c r="K933">
        <v>4</v>
      </c>
      <c r="L933" s="6" t="s">
        <v>21</v>
      </c>
      <c r="M933" s="6" t="s">
        <v>76</v>
      </c>
      <c r="N933">
        <v>80.459999999999994</v>
      </c>
    </row>
    <row r="934" spans="1:14" x14ac:dyDescent="0.35">
      <c r="A934" s="6" t="s">
        <v>3403</v>
      </c>
      <c r="B934" s="7">
        <v>45011</v>
      </c>
      <c r="C934" s="6" t="s">
        <v>3404</v>
      </c>
      <c r="D934" s="6" t="s">
        <v>58</v>
      </c>
      <c r="E934">
        <v>2</v>
      </c>
      <c r="F934">
        <v>72.39</v>
      </c>
      <c r="G934" s="6" t="s">
        <v>3405</v>
      </c>
      <c r="H934" s="6" t="s">
        <v>27</v>
      </c>
      <c r="I934" s="6" t="s">
        <v>50</v>
      </c>
      <c r="J934" s="6" t="s">
        <v>3406</v>
      </c>
      <c r="K934">
        <v>7</v>
      </c>
      <c r="L934" s="6" t="s">
        <v>81</v>
      </c>
      <c r="M934" s="6" t="s">
        <v>22</v>
      </c>
      <c r="N934">
        <v>144.78</v>
      </c>
    </row>
    <row r="935" spans="1:14" x14ac:dyDescent="0.35">
      <c r="A935" s="6" t="s">
        <v>3407</v>
      </c>
      <c r="B935" s="7">
        <v>44952</v>
      </c>
      <c r="C935" s="6" t="s">
        <v>3408</v>
      </c>
      <c r="D935" s="6" t="s">
        <v>16</v>
      </c>
      <c r="E935">
        <v>2</v>
      </c>
      <c r="F935">
        <v>394.16</v>
      </c>
      <c r="G935" s="6" t="s">
        <v>968</v>
      </c>
      <c r="H935" s="6" t="s">
        <v>27</v>
      </c>
      <c r="I935" s="6" t="s">
        <v>19</v>
      </c>
      <c r="J935" s="6" t="s">
        <v>3409</v>
      </c>
      <c r="K935">
        <v>2</v>
      </c>
      <c r="L935" s="6" t="s">
        <v>4283</v>
      </c>
      <c r="M935" s="6" t="s">
        <v>29</v>
      </c>
      <c r="N935">
        <v>788.32</v>
      </c>
    </row>
    <row r="936" spans="1:14" x14ac:dyDescent="0.35">
      <c r="A936" s="6" t="s">
        <v>3410</v>
      </c>
      <c r="B936" s="7">
        <v>45809</v>
      </c>
      <c r="C936" s="6" t="s">
        <v>3411</v>
      </c>
      <c r="D936" s="6" t="s">
        <v>58</v>
      </c>
      <c r="E936">
        <v>4</v>
      </c>
      <c r="F936">
        <v>119.84</v>
      </c>
      <c r="G936" s="6" t="s">
        <v>910</v>
      </c>
      <c r="H936" s="6" t="s">
        <v>60</v>
      </c>
      <c r="I936" s="6" t="s">
        <v>19</v>
      </c>
      <c r="J936" s="6" t="s">
        <v>3412</v>
      </c>
      <c r="K936">
        <v>8</v>
      </c>
      <c r="L936" s="6" t="s">
        <v>37</v>
      </c>
      <c r="M936" s="6" t="s">
        <v>29</v>
      </c>
      <c r="N936">
        <v>479.36</v>
      </c>
    </row>
    <row r="937" spans="1:14" x14ac:dyDescent="0.35">
      <c r="A937" s="6" t="s">
        <v>3413</v>
      </c>
      <c r="B937" s="7">
        <v>45254</v>
      </c>
      <c r="C937" s="6" t="s">
        <v>3414</v>
      </c>
      <c r="D937" s="6" t="s">
        <v>25</v>
      </c>
      <c r="E937">
        <v>3</v>
      </c>
      <c r="F937">
        <v>692.71</v>
      </c>
      <c r="G937" s="6" t="s">
        <v>1340</v>
      </c>
      <c r="H937" s="6" t="s">
        <v>34</v>
      </c>
      <c r="I937" s="6" t="s">
        <v>50</v>
      </c>
      <c r="J937" s="6" t="s">
        <v>3415</v>
      </c>
      <c r="K937">
        <v>3</v>
      </c>
      <c r="L937" s="6" t="s">
        <v>37</v>
      </c>
      <c r="M937" s="6" t="s">
        <v>22</v>
      </c>
      <c r="N937">
        <v>2078.13</v>
      </c>
    </row>
    <row r="938" spans="1:14" x14ac:dyDescent="0.35">
      <c r="A938" s="6" t="s">
        <v>3416</v>
      </c>
      <c r="B938" s="7">
        <v>45303</v>
      </c>
      <c r="C938" s="6" t="s">
        <v>3417</v>
      </c>
      <c r="D938" s="6" t="s">
        <v>41</v>
      </c>
      <c r="E938">
        <v>4</v>
      </c>
      <c r="F938">
        <v>56.66</v>
      </c>
      <c r="G938" s="6" t="s">
        <v>659</v>
      </c>
      <c r="H938" s="6" t="s">
        <v>27</v>
      </c>
      <c r="I938" s="6" t="s">
        <v>50</v>
      </c>
      <c r="J938" s="6" t="s">
        <v>3418</v>
      </c>
      <c r="K938">
        <v>4</v>
      </c>
      <c r="L938" s="6" t="s">
        <v>21</v>
      </c>
      <c r="M938" s="6" t="s">
        <v>22</v>
      </c>
      <c r="N938">
        <v>226.64</v>
      </c>
    </row>
    <row r="939" spans="1:14" x14ac:dyDescent="0.35">
      <c r="A939" s="6" t="s">
        <v>3419</v>
      </c>
      <c r="B939" s="7">
        <v>45307</v>
      </c>
      <c r="C939" s="6" t="s">
        <v>3420</v>
      </c>
      <c r="D939" s="6" t="s">
        <v>41</v>
      </c>
      <c r="E939">
        <v>2</v>
      </c>
      <c r="F939">
        <v>298.52999999999997</v>
      </c>
      <c r="G939" s="6" t="s">
        <v>1590</v>
      </c>
      <c r="H939" s="6" t="s">
        <v>18</v>
      </c>
      <c r="I939" s="6" t="s">
        <v>35</v>
      </c>
      <c r="J939" s="6" t="s">
        <v>3421</v>
      </c>
      <c r="K939">
        <v>5</v>
      </c>
      <c r="L939" s="6" t="s">
        <v>81</v>
      </c>
      <c r="M939" s="6" t="s">
        <v>38</v>
      </c>
      <c r="N939">
        <v>597.05999999999995</v>
      </c>
    </row>
    <row r="940" spans="1:14" x14ac:dyDescent="0.35">
      <c r="A940" s="6" t="s">
        <v>3422</v>
      </c>
      <c r="B940" s="7">
        <v>45119</v>
      </c>
      <c r="C940" s="6" t="s">
        <v>3423</v>
      </c>
      <c r="D940" s="6" t="s">
        <v>41</v>
      </c>
      <c r="E940">
        <v>3</v>
      </c>
      <c r="F940">
        <v>331.46</v>
      </c>
      <c r="G940" s="6" t="s">
        <v>1945</v>
      </c>
      <c r="H940" s="6" t="s">
        <v>34</v>
      </c>
      <c r="I940" s="6" t="s">
        <v>35</v>
      </c>
      <c r="J940" s="6" t="s">
        <v>3424</v>
      </c>
      <c r="K940">
        <v>6</v>
      </c>
      <c r="L940" s="6" t="s">
        <v>81</v>
      </c>
      <c r="M940" s="6" t="s">
        <v>29</v>
      </c>
      <c r="N940">
        <v>994.38</v>
      </c>
    </row>
    <row r="941" spans="1:14" x14ac:dyDescent="0.35">
      <c r="A941" s="6" t="s">
        <v>3425</v>
      </c>
      <c r="B941" s="7">
        <v>45763</v>
      </c>
      <c r="C941" s="6" t="s">
        <v>3426</v>
      </c>
      <c r="D941" s="6" t="s">
        <v>58</v>
      </c>
      <c r="E941">
        <v>2</v>
      </c>
      <c r="F941">
        <v>521.4</v>
      </c>
      <c r="G941" s="6" t="s">
        <v>3427</v>
      </c>
      <c r="H941" s="6" t="s">
        <v>65</v>
      </c>
      <c r="I941" s="6" t="s">
        <v>50</v>
      </c>
      <c r="J941" s="6" t="s">
        <v>3428</v>
      </c>
      <c r="K941">
        <v>7</v>
      </c>
      <c r="L941" s="6" t="s">
        <v>21</v>
      </c>
      <c r="M941" s="6" t="s">
        <v>22</v>
      </c>
      <c r="N941">
        <v>1042.8</v>
      </c>
    </row>
    <row r="942" spans="1:14" x14ac:dyDescent="0.35">
      <c r="A942" s="6" t="s">
        <v>3429</v>
      </c>
      <c r="B942" s="7">
        <v>45012</v>
      </c>
      <c r="C942" s="6" t="s">
        <v>3430</v>
      </c>
      <c r="D942" s="6" t="s">
        <v>48</v>
      </c>
      <c r="E942">
        <v>4</v>
      </c>
      <c r="F942">
        <v>305.32</v>
      </c>
      <c r="G942" s="6" t="s">
        <v>3431</v>
      </c>
      <c r="H942" s="6" t="s">
        <v>27</v>
      </c>
      <c r="I942" s="6" t="s">
        <v>35</v>
      </c>
      <c r="J942" s="6" t="s">
        <v>3432</v>
      </c>
      <c r="K942">
        <v>4</v>
      </c>
      <c r="L942" s="6" t="s">
        <v>21</v>
      </c>
      <c r="M942" s="6" t="s">
        <v>76</v>
      </c>
      <c r="N942">
        <v>1221.28</v>
      </c>
    </row>
    <row r="943" spans="1:14" x14ac:dyDescent="0.35">
      <c r="A943" s="6" t="s">
        <v>3433</v>
      </c>
      <c r="B943" s="7">
        <v>45124</v>
      </c>
      <c r="C943" s="6" t="s">
        <v>1700</v>
      </c>
      <c r="D943" s="6" t="s">
        <v>48</v>
      </c>
      <c r="E943">
        <v>5</v>
      </c>
      <c r="F943">
        <v>111.7</v>
      </c>
      <c r="G943" s="6" t="s">
        <v>1332</v>
      </c>
      <c r="H943" s="6" t="s">
        <v>34</v>
      </c>
      <c r="I943" s="6" t="s">
        <v>35</v>
      </c>
      <c r="J943" s="6" t="s">
        <v>3434</v>
      </c>
      <c r="K943">
        <v>9</v>
      </c>
      <c r="L943" s="6" t="s">
        <v>37</v>
      </c>
      <c r="M943" s="6" t="s">
        <v>38</v>
      </c>
      <c r="N943">
        <v>558.5</v>
      </c>
    </row>
    <row r="944" spans="1:14" x14ac:dyDescent="0.35">
      <c r="A944" s="6" t="s">
        <v>3435</v>
      </c>
      <c r="B944" s="7">
        <v>45198</v>
      </c>
      <c r="C944" s="6" t="s">
        <v>3436</v>
      </c>
      <c r="D944" s="6" t="s">
        <v>32</v>
      </c>
      <c r="E944">
        <v>1</v>
      </c>
      <c r="F944">
        <v>479.76</v>
      </c>
      <c r="G944" s="6" t="s">
        <v>884</v>
      </c>
      <c r="H944" s="6" t="s">
        <v>34</v>
      </c>
      <c r="I944" s="6" t="s">
        <v>89</v>
      </c>
      <c r="J944" s="6" t="s">
        <v>3437</v>
      </c>
      <c r="K944">
        <v>1</v>
      </c>
      <c r="L944" s="6" t="s">
        <v>4283</v>
      </c>
      <c r="M944" s="6" t="s">
        <v>38</v>
      </c>
      <c r="N944">
        <v>479.76</v>
      </c>
    </row>
    <row r="945" spans="1:14" x14ac:dyDescent="0.35">
      <c r="A945" s="6" t="s">
        <v>3438</v>
      </c>
      <c r="B945" s="7">
        <v>45287</v>
      </c>
      <c r="C945" s="6" t="s">
        <v>3439</v>
      </c>
      <c r="D945" s="6" t="s">
        <v>16</v>
      </c>
      <c r="E945">
        <v>3</v>
      </c>
      <c r="F945">
        <v>193.49</v>
      </c>
      <c r="G945" s="6" t="s">
        <v>3440</v>
      </c>
      <c r="H945" s="6" t="s">
        <v>60</v>
      </c>
      <c r="I945" s="6" t="s">
        <v>43</v>
      </c>
      <c r="J945" s="6" t="s">
        <v>3441</v>
      </c>
      <c r="K945">
        <v>6</v>
      </c>
      <c r="L945" s="6" t="s">
        <v>37</v>
      </c>
      <c r="M945" s="6" t="s">
        <v>45</v>
      </c>
      <c r="N945">
        <v>580.47</v>
      </c>
    </row>
    <row r="946" spans="1:14" x14ac:dyDescent="0.35">
      <c r="A946" s="6" t="s">
        <v>3442</v>
      </c>
      <c r="B946" s="7">
        <v>45642</v>
      </c>
      <c r="C946" s="6" t="s">
        <v>3443</v>
      </c>
      <c r="D946" s="6" t="s">
        <v>58</v>
      </c>
      <c r="E946">
        <v>2</v>
      </c>
      <c r="F946">
        <v>426.22</v>
      </c>
      <c r="G946" s="6" t="s">
        <v>3210</v>
      </c>
      <c r="H946" s="6" t="s">
        <v>27</v>
      </c>
      <c r="I946" s="6" t="s">
        <v>50</v>
      </c>
      <c r="J946" s="6" t="s">
        <v>3444</v>
      </c>
      <c r="K946">
        <v>7</v>
      </c>
      <c r="L946" s="6" t="s">
        <v>81</v>
      </c>
      <c r="M946" s="6" t="s">
        <v>76</v>
      </c>
      <c r="N946">
        <v>852.44</v>
      </c>
    </row>
    <row r="947" spans="1:14" x14ac:dyDescent="0.35">
      <c r="A947" s="6" t="s">
        <v>3445</v>
      </c>
      <c r="B947" s="7">
        <v>45158</v>
      </c>
      <c r="C947" s="6" t="s">
        <v>3446</v>
      </c>
      <c r="D947" s="6" t="s">
        <v>32</v>
      </c>
      <c r="E947">
        <v>5</v>
      </c>
      <c r="F947">
        <v>276.44</v>
      </c>
      <c r="G947" s="6" t="s">
        <v>1352</v>
      </c>
      <c r="H947" s="6" t="s">
        <v>60</v>
      </c>
      <c r="I947" s="6" t="s">
        <v>19</v>
      </c>
      <c r="J947" s="6" t="s">
        <v>3447</v>
      </c>
      <c r="K947">
        <v>10</v>
      </c>
      <c r="L947" s="6" t="s">
        <v>37</v>
      </c>
      <c r="M947" s="6" t="s">
        <v>29</v>
      </c>
      <c r="N947">
        <v>1382.2</v>
      </c>
    </row>
    <row r="948" spans="1:14" x14ac:dyDescent="0.35">
      <c r="A948" s="6" t="s">
        <v>3448</v>
      </c>
      <c r="B948" s="7">
        <v>45416</v>
      </c>
      <c r="C948" s="6" t="s">
        <v>3449</v>
      </c>
      <c r="D948" s="6" t="s">
        <v>25</v>
      </c>
      <c r="E948">
        <v>2</v>
      </c>
      <c r="F948">
        <v>404.96</v>
      </c>
      <c r="G948" s="6" t="s">
        <v>1299</v>
      </c>
      <c r="H948" s="6" t="s">
        <v>65</v>
      </c>
      <c r="I948" s="6" t="s">
        <v>19</v>
      </c>
      <c r="J948" s="6" t="s">
        <v>3450</v>
      </c>
      <c r="K948">
        <v>4</v>
      </c>
      <c r="L948" s="6" t="s">
        <v>21</v>
      </c>
      <c r="M948" s="6" t="s">
        <v>38</v>
      </c>
      <c r="N948">
        <v>809.92</v>
      </c>
    </row>
    <row r="949" spans="1:14" x14ac:dyDescent="0.35">
      <c r="A949" s="6" t="s">
        <v>3451</v>
      </c>
      <c r="B949" s="7">
        <v>45176</v>
      </c>
      <c r="C949" s="6" t="s">
        <v>3452</v>
      </c>
      <c r="D949" s="6" t="s">
        <v>25</v>
      </c>
      <c r="E949">
        <v>4</v>
      </c>
      <c r="F949">
        <v>465.66</v>
      </c>
      <c r="G949" s="6" t="s">
        <v>1089</v>
      </c>
      <c r="H949" s="6" t="s">
        <v>27</v>
      </c>
      <c r="I949" s="6" t="s">
        <v>43</v>
      </c>
      <c r="J949" s="6" t="s">
        <v>3453</v>
      </c>
      <c r="K949">
        <v>9</v>
      </c>
      <c r="L949" s="6" t="s">
        <v>37</v>
      </c>
      <c r="M949" s="6" t="s">
        <v>38</v>
      </c>
      <c r="N949">
        <v>1862.64</v>
      </c>
    </row>
    <row r="950" spans="1:14" x14ac:dyDescent="0.35">
      <c r="A950" s="6" t="s">
        <v>3454</v>
      </c>
      <c r="B950" s="7">
        <v>45464</v>
      </c>
      <c r="C950" s="6" t="s">
        <v>1722</v>
      </c>
      <c r="D950" s="6" t="s">
        <v>25</v>
      </c>
      <c r="E950">
        <v>2</v>
      </c>
      <c r="F950">
        <v>594.07000000000005</v>
      </c>
      <c r="G950" s="6" t="s">
        <v>1794</v>
      </c>
      <c r="H950" s="6" t="s">
        <v>60</v>
      </c>
      <c r="I950" s="6" t="s">
        <v>35</v>
      </c>
      <c r="J950" s="6" t="s">
        <v>3455</v>
      </c>
      <c r="K950">
        <v>2</v>
      </c>
      <c r="L950" s="6" t="s">
        <v>4283</v>
      </c>
      <c r="M950" s="6" t="s">
        <v>76</v>
      </c>
      <c r="N950">
        <v>1188.1400000000001</v>
      </c>
    </row>
    <row r="951" spans="1:14" x14ac:dyDescent="0.35">
      <c r="A951" s="6" t="s">
        <v>3456</v>
      </c>
      <c r="B951" s="7">
        <v>45239</v>
      </c>
      <c r="C951" s="6" t="s">
        <v>3457</v>
      </c>
      <c r="D951" s="6" t="s">
        <v>73</v>
      </c>
      <c r="E951">
        <v>5</v>
      </c>
      <c r="F951">
        <v>110.38</v>
      </c>
      <c r="G951" s="6" t="s">
        <v>1560</v>
      </c>
      <c r="H951" s="6" t="s">
        <v>65</v>
      </c>
      <c r="I951" s="6" t="s">
        <v>89</v>
      </c>
      <c r="J951" s="6" t="s">
        <v>3458</v>
      </c>
      <c r="K951">
        <v>10</v>
      </c>
      <c r="L951" s="6" t="s">
        <v>4283</v>
      </c>
      <c r="M951" s="6" t="s">
        <v>29</v>
      </c>
      <c r="N951">
        <v>551.9</v>
      </c>
    </row>
    <row r="952" spans="1:14" x14ac:dyDescent="0.35">
      <c r="A952" s="6" t="s">
        <v>3459</v>
      </c>
      <c r="B952" s="7">
        <v>45443</v>
      </c>
      <c r="C952" s="6" t="s">
        <v>3460</v>
      </c>
      <c r="D952" s="6" t="s">
        <v>58</v>
      </c>
      <c r="E952">
        <v>1</v>
      </c>
      <c r="F952">
        <v>596.24</v>
      </c>
      <c r="G952" s="6" t="s">
        <v>113</v>
      </c>
      <c r="H952" s="6" t="s">
        <v>34</v>
      </c>
      <c r="I952" s="6" t="s">
        <v>43</v>
      </c>
      <c r="J952" s="6" t="s">
        <v>3461</v>
      </c>
      <c r="K952">
        <v>4</v>
      </c>
      <c r="L952" s="6" t="s">
        <v>37</v>
      </c>
      <c r="M952" s="6" t="s">
        <v>22</v>
      </c>
      <c r="N952">
        <v>596.24</v>
      </c>
    </row>
    <row r="953" spans="1:14" x14ac:dyDescent="0.35">
      <c r="A953" s="6" t="s">
        <v>3462</v>
      </c>
      <c r="B953" s="7">
        <v>45495</v>
      </c>
      <c r="C953" s="6" t="s">
        <v>3463</v>
      </c>
      <c r="D953" s="6" t="s">
        <v>48</v>
      </c>
      <c r="E953">
        <v>2</v>
      </c>
      <c r="F953">
        <v>306.24</v>
      </c>
      <c r="G953" s="6" t="s">
        <v>1066</v>
      </c>
      <c r="H953" s="6" t="s">
        <v>27</v>
      </c>
      <c r="I953" s="6" t="s">
        <v>43</v>
      </c>
      <c r="J953" s="6" t="s">
        <v>3464</v>
      </c>
      <c r="K953">
        <v>4</v>
      </c>
      <c r="L953" s="6" t="s">
        <v>37</v>
      </c>
      <c r="M953" s="6" t="s">
        <v>38</v>
      </c>
      <c r="N953">
        <v>612.48</v>
      </c>
    </row>
    <row r="954" spans="1:14" x14ac:dyDescent="0.35">
      <c r="A954" s="6" t="s">
        <v>3465</v>
      </c>
      <c r="B954" s="7">
        <v>45715</v>
      </c>
      <c r="C954" s="6" t="s">
        <v>3466</v>
      </c>
      <c r="D954" s="6" t="s">
        <v>16</v>
      </c>
      <c r="E954">
        <v>3</v>
      </c>
      <c r="F954">
        <v>503.39</v>
      </c>
      <c r="G954" s="6" t="s">
        <v>3467</v>
      </c>
      <c r="H954" s="6" t="s">
        <v>27</v>
      </c>
      <c r="I954" s="6" t="s">
        <v>89</v>
      </c>
      <c r="J954" s="6" t="s">
        <v>3468</v>
      </c>
      <c r="K954">
        <v>5</v>
      </c>
      <c r="L954" s="6" t="s">
        <v>4283</v>
      </c>
      <c r="M954" s="6" t="s">
        <v>45</v>
      </c>
      <c r="N954">
        <v>1510.17</v>
      </c>
    </row>
    <row r="955" spans="1:14" x14ac:dyDescent="0.35">
      <c r="A955" s="6" t="s">
        <v>3469</v>
      </c>
      <c r="B955" s="7">
        <v>44963</v>
      </c>
      <c r="C955" s="6" t="s">
        <v>3470</v>
      </c>
      <c r="D955" s="6" t="s">
        <v>25</v>
      </c>
      <c r="E955">
        <v>1</v>
      </c>
      <c r="F955">
        <v>131.61000000000001</v>
      </c>
      <c r="G955" s="6" t="s">
        <v>363</v>
      </c>
      <c r="H955" s="6" t="s">
        <v>65</v>
      </c>
      <c r="I955" s="6" t="s">
        <v>19</v>
      </c>
      <c r="J955" s="6" t="s">
        <v>3471</v>
      </c>
      <c r="K955">
        <v>2</v>
      </c>
      <c r="L955" s="6" t="s">
        <v>37</v>
      </c>
      <c r="M955" s="6" t="s">
        <v>45</v>
      </c>
      <c r="N955">
        <v>131.61000000000001</v>
      </c>
    </row>
    <row r="956" spans="1:14" x14ac:dyDescent="0.35">
      <c r="A956" s="6" t="s">
        <v>3472</v>
      </c>
      <c r="B956" s="7">
        <v>45587</v>
      </c>
      <c r="C956" s="6" t="s">
        <v>3473</v>
      </c>
      <c r="D956" s="6" t="s">
        <v>41</v>
      </c>
      <c r="E956">
        <v>3</v>
      </c>
      <c r="F956">
        <v>443.44</v>
      </c>
      <c r="G956" s="6" t="s">
        <v>667</v>
      </c>
      <c r="H956" s="6" t="s">
        <v>60</v>
      </c>
      <c r="I956" s="6" t="s">
        <v>19</v>
      </c>
      <c r="J956" s="6" t="s">
        <v>3474</v>
      </c>
      <c r="K956">
        <v>3</v>
      </c>
      <c r="L956" s="6" t="s">
        <v>37</v>
      </c>
      <c r="M956" s="6" t="s">
        <v>76</v>
      </c>
      <c r="N956">
        <v>1330.32</v>
      </c>
    </row>
    <row r="957" spans="1:14" x14ac:dyDescent="0.35">
      <c r="A957" s="6" t="s">
        <v>3475</v>
      </c>
      <c r="B957" s="7">
        <v>44949</v>
      </c>
      <c r="C957" s="6" t="s">
        <v>3476</v>
      </c>
      <c r="D957" s="6" t="s">
        <v>41</v>
      </c>
      <c r="E957">
        <v>1</v>
      </c>
      <c r="F957">
        <v>408.13</v>
      </c>
      <c r="G957" s="6" t="s">
        <v>992</v>
      </c>
      <c r="H957" s="6" t="s">
        <v>60</v>
      </c>
      <c r="I957" s="6" t="s">
        <v>19</v>
      </c>
      <c r="J957" s="6" t="s">
        <v>3477</v>
      </c>
      <c r="K957">
        <v>3</v>
      </c>
      <c r="L957" s="6" t="s">
        <v>81</v>
      </c>
      <c r="M957" s="6" t="s">
        <v>22</v>
      </c>
      <c r="N957">
        <v>408.13</v>
      </c>
    </row>
    <row r="958" spans="1:14" x14ac:dyDescent="0.35">
      <c r="A958" s="6" t="s">
        <v>3478</v>
      </c>
      <c r="B958" s="7">
        <v>45393</v>
      </c>
      <c r="C958" s="6" t="s">
        <v>2899</v>
      </c>
      <c r="D958" s="6" t="s">
        <v>25</v>
      </c>
      <c r="E958">
        <v>2</v>
      </c>
      <c r="F958">
        <v>160.97999999999999</v>
      </c>
      <c r="G958" s="6" t="s">
        <v>3479</v>
      </c>
      <c r="H958" s="6" t="s">
        <v>18</v>
      </c>
      <c r="I958" s="6" t="s">
        <v>50</v>
      </c>
      <c r="J958" s="6" t="s">
        <v>3480</v>
      </c>
      <c r="K958">
        <v>3</v>
      </c>
      <c r="L958" s="6" t="s">
        <v>21</v>
      </c>
      <c r="M958" s="6" t="s">
        <v>29</v>
      </c>
      <c r="N958">
        <v>321.95999999999998</v>
      </c>
    </row>
    <row r="959" spans="1:14" x14ac:dyDescent="0.35">
      <c r="A959" s="6" t="s">
        <v>3481</v>
      </c>
      <c r="B959" s="7">
        <v>44938</v>
      </c>
      <c r="C959" s="6" t="s">
        <v>3482</v>
      </c>
      <c r="D959" s="6" t="s">
        <v>16</v>
      </c>
      <c r="E959">
        <v>5</v>
      </c>
      <c r="F959">
        <v>643.89</v>
      </c>
      <c r="G959" s="6" t="s">
        <v>3483</v>
      </c>
      <c r="H959" s="6" t="s">
        <v>65</v>
      </c>
      <c r="I959" s="6" t="s">
        <v>43</v>
      </c>
      <c r="J959" s="6" t="s">
        <v>3484</v>
      </c>
      <c r="K959">
        <v>8</v>
      </c>
      <c r="L959" s="6" t="s">
        <v>81</v>
      </c>
      <c r="M959" s="6" t="s">
        <v>45</v>
      </c>
      <c r="N959">
        <v>3219.45</v>
      </c>
    </row>
    <row r="960" spans="1:14" x14ac:dyDescent="0.35">
      <c r="A960" s="6" t="s">
        <v>3485</v>
      </c>
      <c r="B960" s="7">
        <v>45059</v>
      </c>
      <c r="C960" s="6" t="s">
        <v>3486</v>
      </c>
      <c r="D960" s="6" t="s">
        <v>73</v>
      </c>
      <c r="E960">
        <v>3</v>
      </c>
      <c r="F960">
        <v>158.66</v>
      </c>
      <c r="G960" s="6" t="s">
        <v>1151</v>
      </c>
      <c r="H960" s="6" t="s">
        <v>60</v>
      </c>
      <c r="I960" s="6" t="s">
        <v>50</v>
      </c>
      <c r="J960" s="6" t="s">
        <v>3487</v>
      </c>
      <c r="K960">
        <v>7</v>
      </c>
      <c r="L960" s="6" t="s">
        <v>81</v>
      </c>
      <c r="M960" s="6" t="s">
        <v>38</v>
      </c>
      <c r="N960">
        <v>475.98</v>
      </c>
    </row>
    <row r="961" spans="1:14" x14ac:dyDescent="0.35">
      <c r="A961" s="6" t="s">
        <v>3488</v>
      </c>
      <c r="B961" s="7">
        <v>45395</v>
      </c>
      <c r="C961" s="6" t="s">
        <v>3489</v>
      </c>
      <c r="D961" s="6" t="s">
        <v>32</v>
      </c>
      <c r="E961">
        <v>2</v>
      </c>
      <c r="F961">
        <v>143.82</v>
      </c>
      <c r="G961" s="6" t="s">
        <v>1190</v>
      </c>
      <c r="H961" s="6" t="s">
        <v>34</v>
      </c>
      <c r="I961" s="6" t="s">
        <v>43</v>
      </c>
      <c r="J961" s="6" t="s">
        <v>3490</v>
      </c>
      <c r="K961">
        <v>6</v>
      </c>
      <c r="L961" s="6" t="s">
        <v>21</v>
      </c>
      <c r="M961" s="6" t="s">
        <v>22</v>
      </c>
      <c r="N961">
        <v>287.64</v>
      </c>
    </row>
    <row r="962" spans="1:14" x14ac:dyDescent="0.35">
      <c r="A962" s="6" t="s">
        <v>3491</v>
      </c>
      <c r="B962" s="7">
        <v>45271</v>
      </c>
      <c r="C962" s="6" t="s">
        <v>3492</v>
      </c>
      <c r="D962" s="6" t="s">
        <v>58</v>
      </c>
      <c r="E962">
        <v>3</v>
      </c>
      <c r="F962">
        <v>379.07</v>
      </c>
      <c r="G962" s="6" t="s">
        <v>1431</v>
      </c>
      <c r="H962" s="6" t="s">
        <v>60</v>
      </c>
      <c r="I962" s="6" t="s">
        <v>89</v>
      </c>
      <c r="J962" s="6" t="s">
        <v>3493</v>
      </c>
      <c r="K962">
        <v>3</v>
      </c>
      <c r="L962" s="6" t="s">
        <v>81</v>
      </c>
      <c r="M962" s="6" t="s">
        <v>76</v>
      </c>
      <c r="N962">
        <v>1137.21</v>
      </c>
    </row>
    <row r="963" spans="1:14" x14ac:dyDescent="0.35">
      <c r="A963" s="6" t="s">
        <v>3494</v>
      </c>
      <c r="B963" s="7">
        <v>45607</v>
      </c>
      <c r="C963" s="6" t="s">
        <v>3495</v>
      </c>
      <c r="D963" s="6" t="s">
        <v>25</v>
      </c>
      <c r="E963">
        <v>1</v>
      </c>
      <c r="F963">
        <v>601.36</v>
      </c>
      <c r="G963" s="6" t="s">
        <v>1306</v>
      </c>
      <c r="H963" s="6" t="s">
        <v>27</v>
      </c>
      <c r="I963" s="6" t="s">
        <v>19</v>
      </c>
      <c r="J963" s="6" t="s">
        <v>3496</v>
      </c>
      <c r="K963">
        <v>1</v>
      </c>
      <c r="L963" s="6" t="s">
        <v>4283</v>
      </c>
      <c r="M963" s="6" t="s">
        <v>45</v>
      </c>
      <c r="N963">
        <v>601.36</v>
      </c>
    </row>
    <row r="964" spans="1:14" x14ac:dyDescent="0.35">
      <c r="A964" s="6" t="s">
        <v>3497</v>
      </c>
      <c r="B964" s="7">
        <v>45541</v>
      </c>
      <c r="C964" s="6" t="s">
        <v>3498</v>
      </c>
      <c r="D964" s="6" t="s">
        <v>25</v>
      </c>
      <c r="E964">
        <v>2</v>
      </c>
      <c r="F964">
        <v>142.08000000000001</v>
      </c>
      <c r="G964" s="6" t="s">
        <v>984</v>
      </c>
      <c r="H964" s="6" t="s">
        <v>60</v>
      </c>
      <c r="I964" s="6" t="s">
        <v>50</v>
      </c>
      <c r="J964" s="6" t="s">
        <v>3499</v>
      </c>
      <c r="K964">
        <v>4</v>
      </c>
      <c r="L964" s="6" t="s">
        <v>21</v>
      </c>
      <c r="M964" s="6" t="s">
        <v>29</v>
      </c>
      <c r="N964">
        <v>284.16000000000003</v>
      </c>
    </row>
    <row r="965" spans="1:14" x14ac:dyDescent="0.35">
      <c r="A965" s="6" t="s">
        <v>3500</v>
      </c>
      <c r="B965" s="7">
        <v>45362</v>
      </c>
      <c r="C965" s="6" t="s">
        <v>3501</v>
      </c>
      <c r="D965" s="6" t="s">
        <v>41</v>
      </c>
      <c r="E965">
        <v>5</v>
      </c>
      <c r="F965">
        <v>530.34</v>
      </c>
      <c r="G965" s="6" t="s">
        <v>743</v>
      </c>
      <c r="H965" s="6" t="s">
        <v>27</v>
      </c>
      <c r="I965" s="6" t="s">
        <v>19</v>
      </c>
      <c r="J965" s="6" t="s">
        <v>3502</v>
      </c>
      <c r="K965">
        <v>9</v>
      </c>
      <c r="L965" s="6" t="s">
        <v>37</v>
      </c>
      <c r="M965" s="6" t="s">
        <v>76</v>
      </c>
      <c r="N965">
        <v>2651.7</v>
      </c>
    </row>
    <row r="966" spans="1:14" x14ac:dyDescent="0.35">
      <c r="A966" s="6" t="s">
        <v>3503</v>
      </c>
      <c r="B966" s="7">
        <v>45158</v>
      </c>
      <c r="C966" s="6" t="s">
        <v>3504</v>
      </c>
      <c r="D966" s="6" t="s">
        <v>25</v>
      </c>
      <c r="E966">
        <v>5</v>
      </c>
      <c r="F966">
        <v>364.42</v>
      </c>
      <c r="G966" s="6" t="s">
        <v>1549</v>
      </c>
      <c r="H966" s="6" t="s">
        <v>34</v>
      </c>
      <c r="I966" s="6" t="s">
        <v>35</v>
      </c>
      <c r="J966" s="6" t="s">
        <v>3505</v>
      </c>
      <c r="K966">
        <v>10</v>
      </c>
      <c r="L966" s="6" t="s">
        <v>21</v>
      </c>
      <c r="M966" s="6" t="s">
        <v>29</v>
      </c>
      <c r="N966">
        <v>1822.1</v>
      </c>
    </row>
    <row r="967" spans="1:14" x14ac:dyDescent="0.35">
      <c r="A967" s="6" t="s">
        <v>3506</v>
      </c>
      <c r="B967" s="7">
        <v>45826</v>
      </c>
      <c r="C967" s="6" t="s">
        <v>3507</v>
      </c>
      <c r="D967" s="6" t="s">
        <v>58</v>
      </c>
      <c r="E967">
        <v>4</v>
      </c>
      <c r="F967">
        <v>578.28</v>
      </c>
      <c r="G967" s="6" t="s">
        <v>1085</v>
      </c>
      <c r="H967" s="6" t="s">
        <v>60</v>
      </c>
      <c r="I967" s="6" t="s">
        <v>35</v>
      </c>
      <c r="J967" s="6" t="s">
        <v>3508</v>
      </c>
      <c r="K967">
        <v>5</v>
      </c>
      <c r="L967" s="6" t="s">
        <v>37</v>
      </c>
      <c r="M967" s="6" t="s">
        <v>38</v>
      </c>
      <c r="N967">
        <v>2313.12</v>
      </c>
    </row>
    <row r="968" spans="1:14" x14ac:dyDescent="0.35">
      <c r="A968" s="6" t="s">
        <v>3509</v>
      </c>
      <c r="B968" s="7">
        <v>45797</v>
      </c>
      <c r="C968" s="6" t="s">
        <v>3510</v>
      </c>
      <c r="D968" s="6" t="s">
        <v>16</v>
      </c>
      <c r="E968">
        <v>5</v>
      </c>
      <c r="F968">
        <v>280.52</v>
      </c>
      <c r="G968" s="6" t="s">
        <v>3511</v>
      </c>
      <c r="H968" s="6" t="s">
        <v>34</v>
      </c>
      <c r="I968" s="6" t="s">
        <v>35</v>
      </c>
      <c r="J968" s="6" t="s">
        <v>3512</v>
      </c>
      <c r="K968">
        <v>7</v>
      </c>
      <c r="L968" s="6" t="s">
        <v>81</v>
      </c>
      <c r="M968" s="6" t="s">
        <v>45</v>
      </c>
      <c r="N968">
        <v>1402.6</v>
      </c>
    </row>
    <row r="969" spans="1:14" x14ac:dyDescent="0.35">
      <c r="A969" s="6" t="s">
        <v>3513</v>
      </c>
      <c r="B969" s="7">
        <v>45783</v>
      </c>
      <c r="C969" s="6" t="s">
        <v>3514</v>
      </c>
      <c r="D969" s="6" t="s">
        <v>32</v>
      </c>
      <c r="E969">
        <v>5</v>
      </c>
      <c r="F969">
        <v>638.91999999999996</v>
      </c>
      <c r="G969" s="6" t="s">
        <v>3515</v>
      </c>
      <c r="H969" s="6" t="s">
        <v>34</v>
      </c>
      <c r="I969" s="6" t="s">
        <v>43</v>
      </c>
      <c r="J969" s="6" t="s">
        <v>3516</v>
      </c>
      <c r="K969">
        <v>5</v>
      </c>
      <c r="L969" s="6" t="s">
        <v>37</v>
      </c>
      <c r="M969" s="6" t="s">
        <v>76</v>
      </c>
      <c r="N969">
        <v>3194.6</v>
      </c>
    </row>
    <row r="970" spans="1:14" x14ac:dyDescent="0.35">
      <c r="A970" s="6" t="s">
        <v>3517</v>
      </c>
      <c r="B970" s="7">
        <v>45330</v>
      </c>
      <c r="C970" s="6" t="s">
        <v>3518</v>
      </c>
      <c r="D970" s="6" t="s">
        <v>16</v>
      </c>
      <c r="E970">
        <v>4</v>
      </c>
      <c r="F970">
        <v>412.2</v>
      </c>
      <c r="G970" s="6" t="s">
        <v>3042</v>
      </c>
      <c r="H970" s="6" t="s">
        <v>34</v>
      </c>
      <c r="I970" s="6" t="s">
        <v>19</v>
      </c>
      <c r="J970" s="6" t="s">
        <v>3519</v>
      </c>
      <c r="K970">
        <v>6</v>
      </c>
      <c r="L970" s="6" t="s">
        <v>81</v>
      </c>
      <c r="M970" s="6" t="s">
        <v>29</v>
      </c>
      <c r="N970">
        <v>1648.8</v>
      </c>
    </row>
    <row r="971" spans="1:14" x14ac:dyDescent="0.35">
      <c r="A971" s="6" t="s">
        <v>3520</v>
      </c>
      <c r="B971" s="7">
        <v>45813</v>
      </c>
      <c r="C971" s="6" t="s">
        <v>3521</v>
      </c>
      <c r="D971" s="6" t="s">
        <v>73</v>
      </c>
      <c r="E971">
        <v>1</v>
      </c>
      <c r="F971">
        <v>440.34</v>
      </c>
      <c r="G971" s="6" t="s">
        <v>3522</v>
      </c>
      <c r="H971" s="6" t="s">
        <v>60</v>
      </c>
      <c r="I971" s="6" t="s">
        <v>19</v>
      </c>
      <c r="J971" s="6" t="s">
        <v>3523</v>
      </c>
      <c r="K971">
        <v>2</v>
      </c>
      <c r="L971" s="6" t="s">
        <v>81</v>
      </c>
      <c r="M971" s="6" t="s">
        <v>45</v>
      </c>
      <c r="N971">
        <v>440.34</v>
      </c>
    </row>
    <row r="972" spans="1:14" x14ac:dyDescent="0.35">
      <c r="A972" s="6" t="s">
        <v>3524</v>
      </c>
      <c r="B972" s="7">
        <v>45542</v>
      </c>
      <c r="C972" s="6" t="s">
        <v>3525</v>
      </c>
      <c r="D972" s="6" t="s">
        <v>73</v>
      </c>
      <c r="E972">
        <v>1</v>
      </c>
      <c r="F972">
        <v>627.15</v>
      </c>
      <c r="G972" s="6" t="s">
        <v>3526</v>
      </c>
      <c r="H972" s="6" t="s">
        <v>65</v>
      </c>
      <c r="I972" s="6" t="s">
        <v>50</v>
      </c>
      <c r="J972" s="6" t="s">
        <v>3527</v>
      </c>
      <c r="K972">
        <v>5</v>
      </c>
      <c r="L972" s="6" t="s">
        <v>21</v>
      </c>
      <c r="M972" s="6" t="s">
        <v>22</v>
      </c>
      <c r="N972">
        <v>627.15</v>
      </c>
    </row>
    <row r="973" spans="1:14" x14ac:dyDescent="0.35">
      <c r="A973" s="6" t="s">
        <v>3528</v>
      </c>
      <c r="B973" s="7">
        <v>45439</v>
      </c>
      <c r="C973" s="6" t="s">
        <v>3529</v>
      </c>
      <c r="D973" s="6" t="s">
        <v>16</v>
      </c>
      <c r="E973">
        <v>2</v>
      </c>
      <c r="F973">
        <v>605.26</v>
      </c>
      <c r="G973" s="6" t="s">
        <v>54</v>
      </c>
      <c r="H973" s="6" t="s">
        <v>65</v>
      </c>
      <c r="I973" s="6" t="s">
        <v>35</v>
      </c>
      <c r="J973" s="6" t="s">
        <v>3530</v>
      </c>
      <c r="K973">
        <v>4</v>
      </c>
      <c r="L973" s="6" t="s">
        <v>81</v>
      </c>
      <c r="M973" s="6" t="s">
        <v>29</v>
      </c>
      <c r="N973">
        <v>1210.52</v>
      </c>
    </row>
    <row r="974" spans="1:14" x14ac:dyDescent="0.35">
      <c r="A974" s="6" t="s">
        <v>3531</v>
      </c>
      <c r="B974" s="7">
        <v>45452</v>
      </c>
      <c r="C974" s="6" t="s">
        <v>3532</v>
      </c>
      <c r="D974" s="6" t="s">
        <v>58</v>
      </c>
      <c r="E974">
        <v>1</v>
      </c>
      <c r="F974">
        <v>90.27</v>
      </c>
      <c r="G974" s="6" t="s">
        <v>3533</v>
      </c>
      <c r="H974" s="6" t="s">
        <v>65</v>
      </c>
      <c r="I974" s="6" t="s">
        <v>50</v>
      </c>
      <c r="J974" s="6" t="s">
        <v>3534</v>
      </c>
      <c r="K974">
        <v>5</v>
      </c>
      <c r="L974" s="6" t="s">
        <v>21</v>
      </c>
      <c r="M974" s="6" t="s">
        <v>45</v>
      </c>
      <c r="N974">
        <v>90.27</v>
      </c>
    </row>
    <row r="975" spans="1:14" x14ac:dyDescent="0.35">
      <c r="A975" s="6" t="s">
        <v>3535</v>
      </c>
      <c r="B975" s="7">
        <v>45817</v>
      </c>
      <c r="C975" s="6" t="s">
        <v>3536</v>
      </c>
      <c r="D975" s="6" t="s">
        <v>73</v>
      </c>
      <c r="E975">
        <v>5</v>
      </c>
      <c r="F975">
        <v>230.77</v>
      </c>
      <c r="G975" s="6" t="s">
        <v>3322</v>
      </c>
      <c r="H975" s="6" t="s">
        <v>27</v>
      </c>
      <c r="I975" s="6" t="s">
        <v>89</v>
      </c>
      <c r="J975" s="6" t="s">
        <v>3537</v>
      </c>
      <c r="K975">
        <v>10</v>
      </c>
      <c r="L975" s="6" t="s">
        <v>81</v>
      </c>
      <c r="M975" s="6" t="s">
        <v>29</v>
      </c>
      <c r="N975">
        <v>1153.8499999999999</v>
      </c>
    </row>
    <row r="976" spans="1:14" x14ac:dyDescent="0.35">
      <c r="A976" s="6" t="s">
        <v>3538</v>
      </c>
      <c r="B976" s="7">
        <v>45196</v>
      </c>
      <c r="C976" s="6" t="s">
        <v>3539</v>
      </c>
      <c r="D976" s="6" t="s">
        <v>73</v>
      </c>
      <c r="E976">
        <v>5</v>
      </c>
      <c r="F976">
        <v>266.77999999999997</v>
      </c>
      <c r="G976" s="6" t="s">
        <v>1237</v>
      </c>
      <c r="H976" s="6" t="s">
        <v>60</v>
      </c>
      <c r="I976" s="6" t="s">
        <v>35</v>
      </c>
      <c r="J976" s="6" t="s">
        <v>3540</v>
      </c>
      <c r="K976">
        <v>5</v>
      </c>
      <c r="L976" s="6" t="s">
        <v>4283</v>
      </c>
      <c r="M976" s="6" t="s">
        <v>38</v>
      </c>
      <c r="N976">
        <v>1333.9</v>
      </c>
    </row>
    <row r="977" spans="1:14" x14ac:dyDescent="0.35">
      <c r="A977" s="6" t="s">
        <v>3541</v>
      </c>
      <c r="B977" s="7">
        <v>45064</v>
      </c>
      <c r="C977" s="6" t="s">
        <v>3542</v>
      </c>
      <c r="D977" s="6" t="s">
        <v>73</v>
      </c>
      <c r="E977">
        <v>1</v>
      </c>
      <c r="F977">
        <v>105.92</v>
      </c>
      <c r="G977" s="6" t="s">
        <v>1093</v>
      </c>
      <c r="H977" s="6" t="s">
        <v>60</v>
      </c>
      <c r="I977" s="6" t="s">
        <v>43</v>
      </c>
      <c r="J977" s="6" t="s">
        <v>3543</v>
      </c>
      <c r="K977">
        <v>6</v>
      </c>
      <c r="L977" s="6" t="s">
        <v>21</v>
      </c>
      <c r="M977" s="6" t="s">
        <v>38</v>
      </c>
      <c r="N977">
        <v>105.92</v>
      </c>
    </row>
    <row r="978" spans="1:14" x14ac:dyDescent="0.35">
      <c r="A978" s="6" t="s">
        <v>3544</v>
      </c>
      <c r="B978" s="7">
        <v>45386</v>
      </c>
      <c r="C978" s="6" t="s">
        <v>3545</v>
      </c>
      <c r="D978" s="6" t="s">
        <v>32</v>
      </c>
      <c r="E978">
        <v>3</v>
      </c>
      <c r="F978">
        <v>589.29999999999995</v>
      </c>
      <c r="G978" s="6" t="s">
        <v>3025</v>
      </c>
      <c r="H978" s="6" t="s">
        <v>34</v>
      </c>
      <c r="I978" s="6" t="s">
        <v>43</v>
      </c>
      <c r="J978" s="6" t="s">
        <v>3546</v>
      </c>
      <c r="K978">
        <v>6</v>
      </c>
      <c r="L978" s="6" t="s">
        <v>81</v>
      </c>
      <c r="M978" s="6" t="s">
        <v>29</v>
      </c>
      <c r="N978">
        <v>1767.9</v>
      </c>
    </row>
    <row r="979" spans="1:14" x14ac:dyDescent="0.35">
      <c r="A979" s="6" t="s">
        <v>3547</v>
      </c>
      <c r="B979" s="7">
        <v>44954</v>
      </c>
      <c r="C979" s="6" t="s">
        <v>3548</v>
      </c>
      <c r="D979" s="6" t="s">
        <v>41</v>
      </c>
      <c r="E979">
        <v>4</v>
      </c>
      <c r="F979">
        <v>649.47</v>
      </c>
      <c r="G979" s="6" t="s">
        <v>3549</v>
      </c>
      <c r="H979" s="6" t="s">
        <v>65</v>
      </c>
      <c r="I979" s="6" t="s">
        <v>89</v>
      </c>
      <c r="J979" s="6" t="s">
        <v>3550</v>
      </c>
      <c r="K979">
        <v>8</v>
      </c>
      <c r="L979" s="6" t="s">
        <v>21</v>
      </c>
      <c r="M979" s="6" t="s">
        <v>76</v>
      </c>
      <c r="N979">
        <v>2597.88</v>
      </c>
    </row>
    <row r="980" spans="1:14" x14ac:dyDescent="0.35">
      <c r="A980" s="6" t="s">
        <v>3551</v>
      </c>
      <c r="B980" s="7">
        <v>45468</v>
      </c>
      <c r="C980" s="6" t="s">
        <v>3552</v>
      </c>
      <c r="D980" s="6" t="s">
        <v>48</v>
      </c>
      <c r="E980">
        <v>4</v>
      </c>
      <c r="F980">
        <v>107.49</v>
      </c>
      <c r="G980" s="6" t="s">
        <v>2651</v>
      </c>
      <c r="H980" s="6" t="s">
        <v>65</v>
      </c>
      <c r="I980" s="6" t="s">
        <v>50</v>
      </c>
      <c r="J980" s="6" t="s">
        <v>3553</v>
      </c>
      <c r="K980">
        <v>5</v>
      </c>
      <c r="L980" s="6" t="s">
        <v>4283</v>
      </c>
      <c r="M980" s="6" t="s">
        <v>76</v>
      </c>
      <c r="N980">
        <v>429.96</v>
      </c>
    </row>
    <row r="981" spans="1:14" x14ac:dyDescent="0.35">
      <c r="A981" s="6" t="s">
        <v>3554</v>
      </c>
      <c r="B981" s="7">
        <v>45077</v>
      </c>
      <c r="C981" s="6" t="s">
        <v>3555</v>
      </c>
      <c r="D981" s="6" t="s">
        <v>16</v>
      </c>
      <c r="E981">
        <v>3</v>
      </c>
      <c r="F981">
        <v>669.06</v>
      </c>
      <c r="G981" s="6" t="s">
        <v>1113</v>
      </c>
      <c r="H981" s="6" t="s">
        <v>65</v>
      </c>
      <c r="I981" s="6" t="s">
        <v>50</v>
      </c>
      <c r="J981" s="6" t="s">
        <v>3556</v>
      </c>
      <c r="K981">
        <v>7</v>
      </c>
      <c r="L981" s="6" t="s">
        <v>21</v>
      </c>
      <c r="M981" s="6" t="s">
        <v>45</v>
      </c>
      <c r="N981">
        <v>2007.18</v>
      </c>
    </row>
    <row r="982" spans="1:14" x14ac:dyDescent="0.35">
      <c r="A982" s="6" t="s">
        <v>3557</v>
      </c>
      <c r="B982" s="7">
        <v>45213</v>
      </c>
      <c r="C982" s="6" t="s">
        <v>3558</v>
      </c>
      <c r="D982" s="6" t="s">
        <v>41</v>
      </c>
      <c r="E982">
        <v>3</v>
      </c>
      <c r="F982">
        <v>69.650000000000006</v>
      </c>
      <c r="G982" s="6" t="s">
        <v>3559</v>
      </c>
      <c r="H982" s="6" t="s">
        <v>65</v>
      </c>
      <c r="I982" s="6" t="s">
        <v>50</v>
      </c>
      <c r="J982" s="6" t="s">
        <v>3560</v>
      </c>
      <c r="K982">
        <v>7</v>
      </c>
      <c r="L982" s="6" t="s">
        <v>81</v>
      </c>
      <c r="M982" s="6" t="s">
        <v>22</v>
      </c>
      <c r="N982">
        <v>208.95</v>
      </c>
    </row>
    <row r="983" spans="1:14" x14ac:dyDescent="0.35">
      <c r="A983" s="6" t="s">
        <v>3561</v>
      </c>
      <c r="B983" s="7">
        <v>45256</v>
      </c>
      <c r="C983" s="6" t="s">
        <v>3562</v>
      </c>
      <c r="D983" s="6" t="s">
        <v>25</v>
      </c>
      <c r="E983">
        <v>4</v>
      </c>
      <c r="F983">
        <v>136.83000000000001</v>
      </c>
      <c r="G983" s="6" t="s">
        <v>3563</v>
      </c>
      <c r="H983" s="6" t="s">
        <v>18</v>
      </c>
      <c r="I983" s="6" t="s">
        <v>89</v>
      </c>
      <c r="J983" s="6" t="s">
        <v>3564</v>
      </c>
      <c r="K983">
        <v>8</v>
      </c>
      <c r="L983" s="6" t="s">
        <v>21</v>
      </c>
      <c r="M983" s="6" t="s">
        <v>38</v>
      </c>
      <c r="N983">
        <v>547.32000000000005</v>
      </c>
    </row>
    <row r="984" spans="1:14" x14ac:dyDescent="0.35">
      <c r="A984" s="6" t="s">
        <v>3565</v>
      </c>
      <c r="B984" s="7">
        <v>45541</v>
      </c>
      <c r="C984" s="6" t="s">
        <v>3566</v>
      </c>
      <c r="D984" s="6" t="s">
        <v>16</v>
      </c>
      <c r="E984">
        <v>1</v>
      </c>
      <c r="F984">
        <v>304.11</v>
      </c>
      <c r="G984" s="6" t="s">
        <v>2668</v>
      </c>
      <c r="H984" s="6" t="s">
        <v>60</v>
      </c>
      <c r="I984" s="6" t="s">
        <v>19</v>
      </c>
      <c r="J984" s="6" t="s">
        <v>3567</v>
      </c>
      <c r="K984">
        <v>2</v>
      </c>
      <c r="L984" s="6" t="s">
        <v>21</v>
      </c>
      <c r="M984" s="6" t="s">
        <v>29</v>
      </c>
      <c r="N984">
        <v>304.11</v>
      </c>
    </row>
    <row r="985" spans="1:14" x14ac:dyDescent="0.35">
      <c r="A985" s="6" t="s">
        <v>3568</v>
      </c>
      <c r="B985" s="7">
        <v>45620</v>
      </c>
      <c r="C985" s="6" t="s">
        <v>3569</v>
      </c>
      <c r="D985" s="6" t="s">
        <v>16</v>
      </c>
      <c r="E985">
        <v>4</v>
      </c>
      <c r="F985">
        <v>296.27999999999997</v>
      </c>
      <c r="G985" s="6" t="s">
        <v>3570</v>
      </c>
      <c r="H985" s="6" t="s">
        <v>60</v>
      </c>
      <c r="I985" s="6" t="s">
        <v>19</v>
      </c>
      <c r="J985" s="6" t="s">
        <v>3571</v>
      </c>
      <c r="K985">
        <v>5</v>
      </c>
      <c r="L985" s="6" t="s">
        <v>21</v>
      </c>
      <c r="M985" s="6" t="s">
        <v>38</v>
      </c>
      <c r="N985">
        <v>1185.1199999999999</v>
      </c>
    </row>
    <row r="986" spans="1:14" x14ac:dyDescent="0.35">
      <c r="A986" s="6" t="s">
        <v>3572</v>
      </c>
      <c r="B986" s="7">
        <v>45716</v>
      </c>
      <c r="C986" s="6" t="s">
        <v>3573</v>
      </c>
      <c r="D986" s="6" t="s">
        <v>73</v>
      </c>
      <c r="E986">
        <v>1</v>
      </c>
      <c r="F986">
        <v>77.64</v>
      </c>
      <c r="G986" s="6" t="s">
        <v>64</v>
      </c>
      <c r="H986" s="6" t="s">
        <v>34</v>
      </c>
      <c r="I986" s="6" t="s">
        <v>19</v>
      </c>
      <c r="J986" s="6" t="s">
        <v>3574</v>
      </c>
      <c r="K986">
        <v>1</v>
      </c>
      <c r="L986" s="6" t="s">
        <v>37</v>
      </c>
      <c r="M986" s="6" t="s">
        <v>45</v>
      </c>
      <c r="N986">
        <v>77.64</v>
      </c>
    </row>
    <row r="987" spans="1:14" x14ac:dyDescent="0.35">
      <c r="A987" s="6" t="s">
        <v>3575</v>
      </c>
      <c r="B987" s="7">
        <v>45493</v>
      </c>
      <c r="C987" s="6" t="s">
        <v>3576</v>
      </c>
      <c r="D987" s="6" t="s">
        <v>73</v>
      </c>
      <c r="E987">
        <v>1</v>
      </c>
      <c r="F987">
        <v>243.71</v>
      </c>
      <c r="G987" s="6" t="s">
        <v>929</v>
      </c>
      <c r="H987" s="6" t="s">
        <v>60</v>
      </c>
      <c r="I987" s="6" t="s">
        <v>50</v>
      </c>
      <c r="J987" s="6" t="s">
        <v>3577</v>
      </c>
      <c r="K987">
        <v>6</v>
      </c>
      <c r="L987" s="6" t="s">
        <v>21</v>
      </c>
      <c r="M987" s="6" t="s">
        <v>76</v>
      </c>
      <c r="N987">
        <v>243.71</v>
      </c>
    </row>
    <row r="988" spans="1:14" x14ac:dyDescent="0.35">
      <c r="A988" s="6" t="s">
        <v>3578</v>
      </c>
      <c r="B988" s="7">
        <v>45542</v>
      </c>
      <c r="C988" s="6" t="s">
        <v>3579</v>
      </c>
      <c r="D988" s="6" t="s">
        <v>58</v>
      </c>
      <c r="E988">
        <v>4</v>
      </c>
      <c r="F988">
        <v>644.96</v>
      </c>
      <c r="G988" s="6" t="s">
        <v>426</v>
      </c>
      <c r="H988" s="6" t="s">
        <v>34</v>
      </c>
      <c r="I988" s="6" t="s">
        <v>89</v>
      </c>
      <c r="J988" s="6" t="s">
        <v>3580</v>
      </c>
      <c r="K988">
        <v>7</v>
      </c>
      <c r="L988" s="6" t="s">
        <v>37</v>
      </c>
      <c r="M988" s="6" t="s">
        <v>38</v>
      </c>
      <c r="N988">
        <v>2579.84</v>
      </c>
    </row>
    <row r="989" spans="1:14" x14ac:dyDescent="0.35">
      <c r="A989" s="6" t="s">
        <v>3581</v>
      </c>
      <c r="B989" s="7">
        <v>45813</v>
      </c>
      <c r="C989" s="6" t="s">
        <v>3582</v>
      </c>
      <c r="D989" s="6" t="s">
        <v>25</v>
      </c>
      <c r="E989">
        <v>5</v>
      </c>
      <c r="F989">
        <v>283.73</v>
      </c>
      <c r="G989" s="6" t="s">
        <v>1697</v>
      </c>
      <c r="H989" s="6" t="s">
        <v>60</v>
      </c>
      <c r="I989" s="6" t="s">
        <v>89</v>
      </c>
      <c r="J989" s="6" t="s">
        <v>3583</v>
      </c>
      <c r="K989">
        <v>8</v>
      </c>
      <c r="L989" s="6" t="s">
        <v>37</v>
      </c>
      <c r="M989" s="6" t="s">
        <v>22</v>
      </c>
      <c r="N989">
        <v>1418.65</v>
      </c>
    </row>
    <row r="990" spans="1:14" x14ac:dyDescent="0.35">
      <c r="A990" s="6" t="s">
        <v>3584</v>
      </c>
      <c r="B990" s="7">
        <v>45692</v>
      </c>
      <c r="C990" s="6" t="s">
        <v>3585</v>
      </c>
      <c r="D990" s="6" t="s">
        <v>73</v>
      </c>
      <c r="E990">
        <v>2</v>
      </c>
      <c r="F990">
        <v>629.55999999999995</v>
      </c>
      <c r="G990" s="6" t="s">
        <v>1317</v>
      </c>
      <c r="H990" s="6" t="s">
        <v>60</v>
      </c>
      <c r="I990" s="6" t="s">
        <v>35</v>
      </c>
      <c r="J990" s="6" t="s">
        <v>3586</v>
      </c>
      <c r="K990">
        <v>5</v>
      </c>
      <c r="L990" s="6" t="s">
        <v>81</v>
      </c>
      <c r="M990" s="6" t="s">
        <v>22</v>
      </c>
      <c r="N990">
        <v>1259.1199999999999</v>
      </c>
    </row>
    <row r="991" spans="1:14" x14ac:dyDescent="0.35">
      <c r="A991" s="6" t="s">
        <v>3587</v>
      </c>
      <c r="B991" s="7">
        <v>45008</v>
      </c>
      <c r="C991" s="6" t="s">
        <v>3588</v>
      </c>
      <c r="D991" s="6" t="s">
        <v>58</v>
      </c>
      <c r="E991">
        <v>4</v>
      </c>
      <c r="F991">
        <v>246.11</v>
      </c>
      <c r="G991" s="6" t="s">
        <v>3589</v>
      </c>
      <c r="H991" s="6" t="s">
        <v>34</v>
      </c>
      <c r="I991" s="6" t="s">
        <v>89</v>
      </c>
      <c r="J991" s="6" t="s">
        <v>3590</v>
      </c>
      <c r="K991">
        <v>4</v>
      </c>
      <c r="L991" s="6" t="s">
        <v>21</v>
      </c>
      <c r="M991" s="6" t="s">
        <v>22</v>
      </c>
      <c r="N991">
        <v>984.44</v>
      </c>
    </row>
    <row r="992" spans="1:14" x14ac:dyDescent="0.35">
      <c r="A992" s="6" t="s">
        <v>3591</v>
      </c>
      <c r="B992" s="7">
        <v>45249</v>
      </c>
      <c r="C992" s="6" t="s">
        <v>3592</v>
      </c>
      <c r="D992" s="6" t="s">
        <v>25</v>
      </c>
      <c r="E992">
        <v>2</v>
      </c>
      <c r="F992">
        <v>418.26</v>
      </c>
      <c r="G992" s="6" t="s">
        <v>3593</v>
      </c>
      <c r="H992" s="6" t="s">
        <v>18</v>
      </c>
      <c r="I992" s="6" t="s">
        <v>89</v>
      </c>
      <c r="J992" s="6" t="s">
        <v>3594</v>
      </c>
      <c r="K992">
        <v>2</v>
      </c>
      <c r="L992" s="6" t="s">
        <v>21</v>
      </c>
      <c r="M992" s="6" t="s">
        <v>76</v>
      </c>
      <c r="N992">
        <v>836.52</v>
      </c>
    </row>
    <row r="993" spans="1:14" x14ac:dyDescent="0.35">
      <c r="A993" s="6" t="s">
        <v>3595</v>
      </c>
      <c r="B993" s="7">
        <v>45421</v>
      </c>
      <c r="C993" s="6" t="s">
        <v>3596</v>
      </c>
      <c r="D993" s="6" t="s">
        <v>73</v>
      </c>
      <c r="E993">
        <v>5</v>
      </c>
      <c r="F993">
        <v>127.18</v>
      </c>
      <c r="G993" s="6" t="s">
        <v>580</v>
      </c>
      <c r="H993" s="6" t="s">
        <v>18</v>
      </c>
      <c r="I993" s="6" t="s">
        <v>35</v>
      </c>
      <c r="J993" s="6" t="s">
        <v>3597</v>
      </c>
      <c r="K993">
        <v>10</v>
      </c>
      <c r="L993" s="6" t="s">
        <v>37</v>
      </c>
      <c r="M993" s="6" t="s">
        <v>76</v>
      </c>
      <c r="N993">
        <v>635.9</v>
      </c>
    </row>
    <row r="994" spans="1:14" x14ac:dyDescent="0.35">
      <c r="A994" s="6" t="s">
        <v>3598</v>
      </c>
      <c r="B994" s="7">
        <v>45531</v>
      </c>
      <c r="C994" s="6" t="s">
        <v>3599</v>
      </c>
      <c r="D994" s="6" t="s">
        <v>48</v>
      </c>
      <c r="E994">
        <v>3</v>
      </c>
      <c r="F994">
        <v>586.21</v>
      </c>
      <c r="G994" s="6" t="s">
        <v>603</v>
      </c>
      <c r="H994" s="6" t="s">
        <v>60</v>
      </c>
      <c r="I994" s="6" t="s">
        <v>89</v>
      </c>
      <c r="J994" s="6" t="s">
        <v>3600</v>
      </c>
      <c r="K994">
        <v>4</v>
      </c>
      <c r="L994" s="6" t="s">
        <v>81</v>
      </c>
      <c r="M994" s="6" t="s">
        <v>29</v>
      </c>
      <c r="N994">
        <v>1758.63</v>
      </c>
    </row>
    <row r="995" spans="1:14" x14ac:dyDescent="0.35">
      <c r="A995" s="6" t="s">
        <v>3601</v>
      </c>
      <c r="B995" s="7">
        <v>45388</v>
      </c>
      <c r="C995" s="6" t="s">
        <v>3602</v>
      </c>
      <c r="D995" s="6" t="s">
        <v>16</v>
      </c>
      <c r="E995">
        <v>3</v>
      </c>
      <c r="F995">
        <v>267.45</v>
      </c>
      <c r="G995" s="6" t="s">
        <v>3603</v>
      </c>
      <c r="H995" s="6" t="s">
        <v>60</v>
      </c>
      <c r="I995" s="6" t="s">
        <v>50</v>
      </c>
      <c r="J995" s="6" t="s">
        <v>3604</v>
      </c>
      <c r="K995">
        <v>5</v>
      </c>
      <c r="L995" s="6" t="s">
        <v>81</v>
      </c>
      <c r="M995" s="6" t="s">
        <v>22</v>
      </c>
      <c r="N995">
        <v>802.35</v>
      </c>
    </row>
    <row r="996" spans="1:14" x14ac:dyDescent="0.35">
      <c r="A996" s="6" t="s">
        <v>3605</v>
      </c>
      <c r="B996" s="7">
        <v>45470</v>
      </c>
      <c r="C996" s="6" t="s">
        <v>3606</v>
      </c>
      <c r="D996" s="6" t="s">
        <v>32</v>
      </c>
      <c r="E996">
        <v>4</v>
      </c>
      <c r="F996">
        <v>615.65</v>
      </c>
      <c r="G996" s="6" t="s">
        <v>363</v>
      </c>
      <c r="H996" s="6" t="s">
        <v>18</v>
      </c>
      <c r="I996" s="6" t="s">
        <v>50</v>
      </c>
      <c r="J996" s="6" t="s">
        <v>3607</v>
      </c>
      <c r="K996">
        <v>9</v>
      </c>
      <c r="L996" s="6" t="s">
        <v>81</v>
      </c>
      <c r="M996" s="6" t="s">
        <v>76</v>
      </c>
      <c r="N996">
        <v>2462.6</v>
      </c>
    </row>
    <row r="997" spans="1:14" x14ac:dyDescent="0.35">
      <c r="A997" s="6" t="s">
        <v>3608</v>
      </c>
      <c r="B997" s="7">
        <v>45248</v>
      </c>
      <c r="C997" s="6" t="s">
        <v>3609</v>
      </c>
      <c r="D997" s="6" t="s">
        <v>16</v>
      </c>
      <c r="E997">
        <v>2</v>
      </c>
      <c r="F997">
        <v>113.29</v>
      </c>
      <c r="G997" s="6" t="s">
        <v>1992</v>
      </c>
      <c r="H997" s="6" t="s">
        <v>65</v>
      </c>
      <c r="I997" s="6" t="s">
        <v>89</v>
      </c>
      <c r="J997" s="6" t="s">
        <v>3610</v>
      </c>
      <c r="K997">
        <v>5</v>
      </c>
      <c r="L997" s="6" t="s">
        <v>21</v>
      </c>
      <c r="M997" s="6" t="s">
        <v>45</v>
      </c>
      <c r="N997">
        <v>226.58</v>
      </c>
    </row>
    <row r="998" spans="1:14" x14ac:dyDescent="0.35">
      <c r="A998" s="6" t="s">
        <v>3611</v>
      </c>
      <c r="B998" s="7">
        <v>45410</v>
      </c>
      <c r="C998" s="6" t="s">
        <v>3612</v>
      </c>
      <c r="D998" s="6" t="s">
        <v>16</v>
      </c>
      <c r="E998">
        <v>4</v>
      </c>
      <c r="F998">
        <v>473.86</v>
      </c>
      <c r="G998" s="6" t="s">
        <v>1256</v>
      </c>
      <c r="H998" s="6" t="s">
        <v>18</v>
      </c>
      <c r="I998" s="6" t="s">
        <v>50</v>
      </c>
      <c r="J998" s="6" t="s">
        <v>3613</v>
      </c>
      <c r="K998">
        <v>7</v>
      </c>
      <c r="L998" s="6" t="s">
        <v>21</v>
      </c>
      <c r="M998" s="6" t="s">
        <v>45</v>
      </c>
      <c r="N998">
        <v>1895.44</v>
      </c>
    </row>
    <row r="999" spans="1:14" x14ac:dyDescent="0.35">
      <c r="A999" s="6" t="s">
        <v>3614</v>
      </c>
      <c r="B999" s="7">
        <v>45257</v>
      </c>
      <c r="C999" s="6" t="s">
        <v>3615</v>
      </c>
      <c r="D999" s="6" t="s">
        <v>58</v>
      </c>
      <c r="E999">
        <v>3</v>
      </c>
      <c r="F999">
        <v>444.75</v>
      </c>
      <c r="G999" s="6" t="s">
        <v>1938</v>
      </c>
      <c r="H999" s="6" t="s">
        <v>65</v>
      </c>
      <c r="I999" s="6" t="s">
        <v>50</v>
      </c>
      <c r="J999" s="6" t="s">
        <v>3616</v>
      </c>
      <c r="K999">
        <v>6</v>
      </c>
      <c r="L999" s="6" t="s">
        <v>21</v>
      </c>
      <c r="M999" s="6" t="s">
        <v>45</v>
      </c>
      <c r="N999">
        <v>1334.25</v>
      </c>
    </row>
    <row r="1000" spans="1:14" x14ac:dyDescent="0.35">
      <c r="A1000" s="6" t="s">
        <v>3617</v>
      </c>
      <c r="B1000" s="7">
        <v>45065</v>
      </c>
      <c r="C1000" s="6" t="s">
        <v>3618</v>
      </c>
      <c r="D1000" s="6" t="s">
        <v>25</v>
      </c>
      <c r="E1000">
        <v>2</v>
      </c>
      <c r="F1000">
        <v>183.67</v>
      </c>
      <c r="G1000" s="6" t="s">
        <v>956</v>
      </c>
      <c r="H1000" s="6" t="s">
        <v>18</v>
      </c>
      <c r="I1000" s="6" t="s">
        <v>35</v>
      </c>
      <c r="J1000" s="6" t="s">
        <v>3619</v>
      </c>
      <c r="K1000">
        <v>6</v>
      </c>
      <c r="L1000" s="6" t="s">
        <v>21</v>
      </c>
      <c r="M1000" s="6" t="s">
        <v>76</v>
      </c>
      <c r="N1000">
        <v>367.34</v>
      </c>
    </row>
    <row r="1001" spans="1:14" x14ac:dyDescent="0.35">
      <c r="A1001" s="6" t="s">
        <v>3620</v>
      </c>
      <c r="B1001" s="7">
        <v>45284</v>
      </c>
      <c r="C1001" s="6" t="s">
        <v>3621</v>
      </c>
      <c r="D1001" s="6" t="s">
        <v>48</v>
      </c>
      <c r="E1001">
        <v>1</v>
      </c>
      <c r="F1001">
        <v>483.38</v>
      </c>
      <c r="G1001" s="6" t="s">
        <v>1620</v>
      </c>
      <c r="H1001" s="6" t="s">
        <v>65</v>
      </c>
      <c r="I1001" s="6" t="s">
        <v>89</v>
      </c>
      <c r="J1001" s="6" t="s">
        <v>3622</v>
      </c>
      <c r="K1001">
        <v>6</v>
      </c>
      <c r="L1001" s="6" t="s">
        <v>37</v>
      </c>
      <c r="M1001" s="6" t="s">
        <v>76</v>
      </c>
      <c r="N1001">
        <v>483.38</v>
      </c>
    </row>
    <row r="1002" spans="1:14" x14ac:dyDescent="0.35">
      <c r="A1002" s="6" t="s">
        <v>3623</v>
      </c>
      <c r="B1002" s="7">
        <v>45098</v>
      </c>
      <c r="C1002" s="6" t="s">
        <v>3624</v>
      </c>
      <c r="D1002" s="6" t="s">
        <v>48</v>
      </c>
      <c r="E1002">
        <v>5</v>
      </c>
      <c r="F1002">
        <v>260.93</v>
      </c>
      <c r="G1002" s="6" t="s">
        <v>3625</v>
      </c>
      <c r="H1002" s="6" t="s">
        <v>27</v>
      </c>
      <c r="I1002" s="6" t="s">
        <v>50</v>
      </c>
      <c r="J1002" s="6" t="s">
        <v>3626</v>
      </c>
      <c r="K1002">
        <v>9</v>
      </c>
      <c r="L1002" s="6" t="s">
        <v>21</v>
      </c>
      <c r="M1002" s="6" t="s">
        <v>38</v>
      </c>
      <c r="N1002">
        <v>1304.6500000000001</v>
      </c>
    </row>
    <row r="1003" spans="1:14" x14ac:dyDescent="0.35">
      <c r="A1003" s="6" t="s">
        <v>3627</v>
      </c>
      <c r="B1003" s="7">
        <v>45268</v>
      </c>
      <c r="C1003" s="6" t="s">
        <v>3628</v>
      </c>
      <c r="D1003" s="6" t="s">
        <v>48</v>
      </c>
      <c r="E1003">
        <v>2</v>
      </c>
      <c r="F1003">
        <v>253.68</v>
      </c>
      <c r="G1003" s="6" t="s">
        <v>494</v>
      </c>
      <c r="H1003" s="6" t="s">
        <v>60</v>
      </c>
      <c r="I1003" s="6" t="s">
        <v>19</v>
      </c>
      <c r="J1003" s="6" t="s">
        <v>3629</v>
      </c>
      <c r="K1003">
        <v>6</v>
      </c>
      <c r="L1003" s="6" t="s">
        <v>4283</v>
      </c>
      <c r="M1003" s="6" t="s">
        <v>29</v>
      </c>
      <c r="N1003">
        <v>507.36</v>
      </c>
    </row>
    <row r="1004" spans="1:14" x14ac:dyDescent="0.35">
      <c r="A1004" s="6" t="s">
        <v>3630</v>
      </c>
      <c r="B1004" s="7">
        <v>45827</v>
      </c>
      <c r="C1004" s="6" t="s">
        <v>3631</v>
      </c>
      <c r="D1004" s="6" t="s">
        <v>32</v>
      </c>
      <c r="E1004">
        <v>4</v>
      </c>
      <c r="F1004">
        <v>699.88</v>
      </c>
      <c r="G1004" s="6" t="s">
        <v>442</v>
      </c>
      <c r="H1004" s="6" t="s">
        <v>65</v>
      </c>
      <c r="I1004" s="6" t="s">
        <v>89</v>
      </c>
      <c r="J1004" s="6" t="s">
        <v>3632</v>
      </c>
      <c r="K1004">
        <v>5</v>
      </c>
      <c r="L1004" s="6" t="s">
        <v>81</v>
      </c>
      <c r="M1004" s="6" t="s">
        <v>29</v>
      </c>
      <c r="N1004">
        <v>2799.52</v>
      </c>
    </row>
    <row r="1005" spans="1:14" x14ac:dyDescent="0.35">
      <c r="A1005" s="6" t="s">
        <v>3633</v>
      </c>
      <c r="B1005" s="7">
        <v>44937</v>
      </c>
      <c r="C1005" s="6" t="s">
        <v>3634</v>
      </c>
      <c r="D1005" s="6" t="s">
        <v>48</v>
      </c>
      <c r="E1005">
        <v>5</v>
      </c>
      <c r="F1005">
        <v>319.97000000000003</v>
      </c>
      <c r="G1005" s="6" t="s">
        <v>3625</v>
      </c>
      <c r="H1005" s="6" t="s">
        <v>65</v>
      </c>
      <c r="I1005" s="6" t="s">
        <v>19</v>
      </c>
      <c r="J1005" s="6" t="s">
        <v>3635</v>
      </c>
      <c r="K1005">
        <v>7</v>
      </c>
      <c r="L1005" s="6" t="s">
        <v>21</v>
      </c>
      <c r="M1005" s="6" t="s">
        <v>76</v>
      </c>
      <c r="N1005">
        <v>1599.85</v>
      </c>
    </row>
    <row r="1006" spans="1:14" x14ac:dyDescent="0.35">
      <c r="A1006" s="6" t="s">
        <v>3636</v>
      </c>
      <c r="B1006" s="7">
        <v>45817</v>
      </c>
      <c r="C1006" s="6" t="s">
        <v>3637</v>
      </c>
      <c r="D1006" s="6" t="s">
        <v>41</v>
      </c>
      <c r="E1006">
        <v>4</v>
      </c>
      <c r="F1006">
        <v>246.91</v>
      </c>
      <c r="G1006" s="6" t="s">
        <v>145</v>
      </c>
      <c r="H1006" s="6" t="s">
        <v>27</v>
      </c>
      <c r="I1006" s="6" t="s">
        <v>89</v>
      </c>
      <c r="J1006" s="6" t="s">
        <v>3638</v>
      </c>
      <c r="K1006">
        <v>8</v>
      </c>
      <c r="L1006" s="6" t="s">
        <v>21</v>
      </c>
      <c r="M1006" s="6" t="s">
        <v>29</v>
      </c>
      <c r="N1006">
        <v>987.64</v>
      </c>
    </row>
    <row r="1007" spans="1:14" x14ac:dyDescent="0.35">
      <c r="A1007" s="6" t="s">
        <v>3639</v>
      </c>
      <c r="B1007" s="7">
        <v>44987</v>
      </c>
      <c r="C1007" s="6" t="s">
        <v>3640</v>
      </c>
      <c r="D1007" s="6" t="s">
        <v>48</v>
      </c>
      <c r="E1007">
        <v>3</v>
      </c>
      <c r="F1007">
        <v>392.85</v>
      </c>
      <c r="G1007" s="6" t="s">
        <v>2948</v>
      </c>
      <c r="H1007" s="6" t="s">
        <v>34</v>
      </c>
      <c r="I1007" s="6" t="s">
        <v>43</v>
      </c>
      <c r="J1007" s="6" t="s">
        <v>3641</v>
      </c>
      <c r="K1007">
        <v>6</v>
      </c>
      <c r="L1007" s="6" t="s">
        <v>4283</v>
      </c>
      <c r="M1007" s="6" t="s">
        <v>76</v>
      </c>
      <c r="N1007">
        <v>1178.55</v>
      </c>
    </row>
    <row r="1008" spans="1:14" x14ac:dyDescent="0.35">
      <c r="A1008" s="6" t="s">
        <v>3642</v>
      </c>
      <c r="B1008" s="7">
        <v>45439</v>
      </c>
      <c r="C1008" s="6" t="s">
        <v>3643</v>
      </c>
      <c r="D1008" s="6" t="s">
        <v>32</v>
      </c>
      <c r="E1008">
        <v>5</v>
      </c>
      <c r="F1008">
        <v>420.98</v>
      </c>
      <c r="G1008" s="6" t="s">
        <v>2519</v>
      </c>
      <c r="H1008" s="6" t="s">
        <v>65</v>
      </c>
      <c r="I1008" s="6" t="s">
        <v>50</v>
      </c>
      <c r="J1008" s="6" t="s">
        <v>3644</v>
      </c>
      <c r="K1008">
        <v>7</v>
      </c>
      <c r="L1008" s="6" t="s">
        <v>21</v>
      </c>
      <c r="M1008" s="6" t="s">
        <v>45</v>
      </c>
      <c r="N1008">
        <v>2104.9</v>
      </c>
    </row>
    <row r="1009" spans="1:14" x14ac:dyDescent="0.35">
      <c r="A1009" s="6" t="s">
        <v>3645</v>
      </c>
      <c r="B1009" s="7">
        <v>45371</v>
      </c>
      <c r="C1009" s="6" t="s">
        <v>1868</v>
      </c>
      <c r="D1009" s="6" t="s">
        <v>16</v>
      </c>
      <c r="E1009">
        <v>2</v>
      </c>
      <c r="F1009">
        <v>73.260000000000005</v>
      </c>
      <c r="G1009" s="6" t="s">
        <v>415</v>
      </c>
      <c r="H1009" s="6" t="s">
        <v>65</v>
      </c>
      <c r="I1009" s="6" t="s">
        <v>89</v>
      </c>
      <c r="J1009" s="6" t="s">
        <v>3646</v>
      </c>
      <c r="K1009">
        <v>4</v>
      </c>
      <c r="L1009" s="6" t="s">
        <v>81</v>
      </c>
      <c r="M1009" s="6" t="s">
        <v>45</v>
      </c>
      <c r="N1009">
        <v>146.52000000000001</v>
      </c>
    </row>
    <row r="1010" spans="1:14" x14ac:dyDescent="0.35">
      <c r="A1010" s="6" t="s">
        <v>3647</v>
      </c>
      <c r="B1010" s="7">
        <v>44939</v>
      </c>
      <c r="C1010" s="6" t="s">
        <v>3648</v>
      </c>
      <c r="D1010" s="6" t="s">
        <v>16</v>
      </c>
      <c r="E1010">
        <v>3</v>
      </c>
      <c r="F1010">
        <v>410.88</v>
      </c>
      <c r="G1010" s="6" t="s">
        <v>2866</v>
      </c>
      <c r="H1010" s="6" t="s">
        <v>65</v>
      </c>
      <c r="I1010" s="6" t="s">
        <v>50</v>
      </c>
      <c r="J1010" s="6" t="s">
        <v>3649</v>
      </c>
      <c r="K1010">
        <v>8</v>
      </c>
      <c r="L1010" s="6" t="s">
        <v>37</v>
      </c>
      <c r="M1010" s="6" t="s">
        <v>22</v>
      </c>
      <c r="N1010">
        <v>1232.6400000000001</v>
      </c>
    </row>
    <row r="1011" spans="1:14" x14ac:dyDescent="0.35">
      <c r="A1011" s="6" t="s">
        <v>3650</v>
      </c>
      <c r="B1011" s="7">
        <v>45171</v>
      </c>
      <c r="C1011" s="6" t="s">
        <v>3651</v>
      </c>
      <c r="D1011" s="6" t="s">
        <v>32</v>
      </c>
      <c r="E1011">
        <v>2</v>
      </c>
      <c r="F1011">
        <v>176.46</v>
      </c>
      <c r="G1011" s="6" t="s">
        <v>1945</v>
      </c>
      <c r="H1011" s="6" t="s">
        <v>34</v>
      </c>
      <c r="I1011" s="6" t="s">
        <v>50</v>
      </c>
      <c r="J1011" s="6" t="s">
        <v>3652</v>
      </c>
      <c r="K1011">
        <v>2</v>
      </c>
      <c r="L1011" s="6" t="s">
        <v>37</v>
      </c>
      <c r="M1011" s="6" t="s">
        <v>38</v>
      </c>
      <c r="N1011">
        <v>352.92</v>
      </c>
    </row>
    <row r="1012" spans="1:14" x14ac:dyDescent="0.35">
      <c r="A1012" s="6" t="s">
        <v>3653</v>
      </c>
      <c r="B1012" s="7">
        <v>45016</v>
      </c>
      <c r="C1012" s="6" t="s">
        <v>3654</v>
      </c>
      <c r="D1012" s="6" t="s">
        <v>16</v>
      </c>
      <c r="E1012">
        <v>3</v>
      </c>
      <c r="F1012">
        <v>659.57</v>
      </c>
      <c r="G1012" s="6" t="s">
        <v>426</v>
      </c>
      <c r="H1012" s="6" t="s">
        <v>34</v>
      </c>
      <c r="I1012" s="6" t="s">
        <v>35</v>
      </c>
      <c r="J1012" s="6" t="s">
        <v>3655</v>
      </c>
      <c r="K1012">
        <v>6</v>
      </c>
      <c r="L1012" s="6" t="s">
        <v>21</v>
      </c>
      <c r="M1012" s="6" t="s">
        <v>38</v>
      </c>
      <c r="N1012">
        <v>1978.71</v>
      </c>
    </row>
    <row r="1013" spans="1:14" x14ac:dyDescent="0.35">
      <c r="A1013" s="6" t="s">
        <v>3656</v>
      </c>
      <c r="B1013" s="7">
        <v>45629</v>
      </c>
      <c r="C1013" s="6" t="s">
        <v>3657</v>
      </c>
      <c r="D1013" s="6" t="s">
        <v>25</v>
      </c>
      <c r="E1013">
        <v>2</v>
      </c>
      <c r="F1013">
        <v>478.36</v>
      </c>
      <c r="G1013" s="6" t="s">
        <v>1105</v>
      </c>
      <c r="H1013" s="6" t="s">
        <v>27</v>
      </c>
      <c r="I1013" s="6" t="s">
        <v>19</v>
      </c>
      <c r="J1013" s="6" t="s">
        <v>3658</v>
      </c>
      <c r="K1013">
        <v>3</v>
      </c>
      <c r="L1013" s="6" t="s">
        <v>4283</v>
      </c>
      <c r="M1013" s="6" t="s">
        <v>76</v>
      </c>
      <c r="N1013">
        <v>956.72</v>
      </c>
    </row>
    <row r="1014" spans="1:14" x14ac:dyDescent="0.35">
      <c r="A1014" s="6" t="s">
        <v>3659</v>
      </c>
      <c r="B1014" s="7">
        <v>45629</v>
      </c>
      <c r="C1014" s="6" t="s">
        <v>3660</v>
      </c>
      <c r="D1014" s="6" t="s">
        <v>48</v>
      </c>
      <c r="E1014">
        <v>4</v>
      </c>
      <c r="F1014">
        <v>30.05</v>
      </c>
      <c r="G1014" s="6" t="s">
        <v>1252</v>
      </c>
      <c r="H1014" s="6" t="s">
        <v>27</v>
      </c>
      <c r="I1014" s="6" t="s">
        <v>43</v>
      </c>
      <c r="J1014" s="6" t="s">
        <v>3661</v>
      </c>
      <c r="K1014">
        <v>6</v>
      </c>
      <c r="L1014" s="6" t="s">
        <v>4283</v>
      </c>
      <c r="M1014" s="6" t="s">
        <v>45</v>
      </c>
      <c r="N1014">
        <v>120.2</v>
      </c>
    </row>
    <row r="1015" spans="1:14" x14ac:dyDescent="0.35">
      <c r="A1015" s="6" t="s">
        <v>3662</v>
      </c>
      <c r="B1015" s="7">
        <v>45773</v>
      </c>
      <c r="C1015" s="6" t="s">
        <v>3663</v>
      </c>
      <c r="D1015" s="6" t="s">
        <v>58</v>
      </c>
      <c r="E1015">
        <v>4</v>
      </c>
      <c r="F1015">
        <v>300.56</v>
      </c>
      <c r="G1015" s="6" t="s">
        <v>265</v>
      </c>
      <c r="H1015" s="6" t="s">
        <v>65</v>
      </c>
      <c r="I1015" s="6" t="s">
        <v>35</v>
      </c>
      <c r="J1015" s="6" t="s">
        <v>3664</v>
      </c>
      <c r="K1015">
        <v>9</v>
      </c>
      <c r="L1015" s="6" t="s">
        <v>37</v>
      </c>
      <c r="M1015" s="6" t="s">
        <v>45</v>
      </c>
      <c r="N1015">
        <v>1202.24</v>
      </c>
    </row>
    <row r="1016" spans="1:14" x14ac:dyDescent="0.35">
      <c r="A1016" s="6" t="s">
        <v>3665</v>
      </c>
      <c r="B1016" s="7">
        <v>45326</v>
      </c>
      <c r="C1016" s="6" t="s">
        <v>3666</v>
      </c>
      <c r="D1016" s="6" t="s">
        <v>32</v>
      </c>
      <c r="E1016">
        <v>5</v>
      </c>
      <c r="F1016">
        <v>226.45</v>
      </c>
      <c r="G1016" s="6" t="s">
        <v>1743</v>
      </c>
      <c r="H1016" s="6" t="s">
        <v>18</v>
      </c>
      <c r="I1016" s="6" t="s">
        <v>43</v>
      </c>
      <c r="J1016" s="6" t="s">
        <v>3667</v>
      </c>
      <c r="K1016">
        <v>6</v>
      </c>
      <c r="L1016" s="6" t="s">
        <v>37</v>
      </c>
      <c r="M1016" s="6" t="s">
        <v>38</v>
      </c>
      <c r="N1016">
        <v>1132.25</v>
      </c>
    </row>
    <row r="1017" spans="1:14" x14ac:dyDescent="0.35">
      <c r="A1017" s="6" t="s">
        <v>3668</v>
      </c>
      <c r="B1017" s="7">
        <v>45317</v>
      </c>
      <c r="C1017" s="6" t="s">
        <v>3669</v>
      </c>
      <c r="D1017" s="6" t="s">
        <v>48</v>
      </c>
      <c r="E1017">
        <v>2</v>
      </c>
      <c r="F1017">
        <v>349.4</v>
      </c>
      <c r="G1017" s="6" t="s">
        <v>2283</v>
      </c>
      <c r="H1017" s="6" t="s">
        <v>27</v>
      </c>
      <c r="I1017" s="6" t="s">
        <v>19</v>
      </c>
      <c r="J1017" s="6" t="s">
        <v>3670</v>
      </c>
      <c r="K1017">
        <v>2</v>
      </c>
      <c r="L1017" s="6" t="s">
        <v>21</v>
      </c>
      <c r="M1017" s="6" t="s">
        <v>22</v>
      </c>
      <c r="N1017">
        <v>698.8</v>
      </c>
    </row>
    <row r="1018" spans="1:14" x14ac:dyDescent="0.35">
      <c r="A1018" s="6" t="s">
        <v>3671</v>
      </c>
      <c r="B1018" s="7">
        <v>45289</v>
      </c>
      <c r="C1018" s="6" t="s">
        <v>3672</v>
      </c>
      <c r="D1018" s="6" t="s">
        <v>32</v>
      </c>
      <c r="E1018">
        <v>5</v>
      </c>
      <c r="F1018">
        <v>268.77999999999997</v>
      </c>
      <c r="G1018" s="6" t="s">
        <v>3673</v>
      </c>
      <c r="H1018" s="6" t="s">
        <v>18</v>
      </c>
      <c r="I1018" s="6" t="s">
        <v>50</v>
      </c>
      <c r="J1018" s="6" t="s">
        <v>3674</v>
      </c>
      <c r="K1018">
        <v>7</v>
      </c>
      <c r="L1018" s="6" t="s">
        <v>81</v>
      </c>
      <c r="M1018" s="6" t="s">
        <v>38</v>
      </c>
      <c r="N1018">
        <v>1343.9</v>
      </c>
    </row>
    <row r="1019" spans="1:14" x14ac:dyDescent="0.35">
      <c r="A1019" s="6" t="s">
        <v>3675</v>
      </c>
      <c r="B1019" s="7">
        <v>45529</v>
      </c>
      <c r="C1019" s="6" t="s">
        <v>3676</v>
      </c>
      <c r="D1019" s="6" t="s">
        <v>41</v>
      </c>
      <c r="E1019">
        <v>2</v>
      </c>
      <c r="F1019">
        <v>680.85</v>
      </c>
      <c r="G1019" s="6" t="s">
        <v>3677</v>
      </c>
      <c r="H1019" s="6" t="s">
        <v>60</v>
      </c>
      <c r="I1019" s="6" t="s">
        <v>50</v>
      </c>
      <c r="J1019" s="6" t="s">
        <v>3678</v>
      </c>
      <c r="K1019">
        <v>6</v>
      </c>
      <c r="L1019" s="6" t="s">
        <v>37</v>
      </c>
      <c r="M1019" s="6" t="s">
        <v>29</v>
      </c>
      <c r="N1019">
        <v>1361.7</v>
      </c>
    </row>
    <row r="1020" spans="1:14" x14ac:dyDescent="0.35">
      <c r="A1020" s="6" t="s">
        <v>3679</v>
      </c>
      <c r="B1020" s="7">
        <v>45115</v>
      </c>
      <c r="C1020" s="6" t="s">
        <v>3680</v>
      </c>
      <c r="D1020" s="6" t="s">
        <v>58</v>
      </c>
      <c r="E1020">
        <v>3</v>
      </c>
      <c r="F1020">
        <v>182.48</v>
      </c>
      <c r="G1020" s="6" t="s">
        <v>3681</v>
      </c>
      <c r="H1020" s="6" t="s">
        <v>65</v>
      </c>
      <c r="I1020" s="6" t="s">
        <v>50</v>
      </c>
      <c r="J1020" s="6" t="s">
        <v>3682</v>
      </c>
      <c r="K1020">
        <v>3</v>
      </c>
      <c r="L1020" s="6" t="s">
        <v>4283</v>
      </c>
      <c r="M1020" s="6" t="s">
        <v>22</v>
      </c>
      <c r="N1020">
        <v>547.44000000000005</v>
      </c>
    </row>
    <row r="1021" spans="1:14" x14ac:dyDescent="0.35">
      <c r="A1021" s="6" t="s">
        <v>3683</v>
      </c>
      <c r="B1021" s="7">
        <v>45388</v>
      </c>
      <c r="C1021" s="6" t="s">
        <v>3684</v>
      </c>
      <c r="D1021" s="6" t="s">
        <v>73</v>
      </c>
      <c r="E1021">
        <v>1</v>
      </c>
      <c r="F1021">
        <v>277.08999999999997</v>
      </c>
      <c r="G1021" s="6" t="s">
        <v>1348</v>
      </c>
      <c r="H1021" s="6" t="s">
        <v>65</v>
      </c>
      <c r="I1021" s="6" t="s">
        <v>43</v>
      </c>
      <c r="J1021" s="6" t="s">
        <v>3685</v>
      </c>
      <c r="K1021">
        <v>2</v>
      </c>
      <c r="L1021" s="6" t="s">
        <v>21</v>
      </c>
      <c r="M1021" s="6" t="s">
        <v>29</v>
      </c>
      <c r="N1021">
        <v>277.08999999999997</v>
      </c>
    </row>
    <row r="1022" spans="1:14" x14ac:dyDescent="0.35">
      <c r="A1022" s="6" t="s">
        <v>3686</v>
      </c>
      <c r="B1022" s="7">
        <v>45404</v>
      </c>
      <c r="C1022" s="6" t="s">
        <v>3687</v>
      </c>
      <c r="D1022" s="6" t="s">
        <v>32</v>
      </c>
      <c r="E1022">
        <v>2</v>
      </c>
      <c r="F1022">
        <v>26.5</v>
      </c>
      <c r="G1022" s="6" t="s">
        <v>1431</v>
      </c>
      <c r="H1022" s="6" t="s">
        <v>27</v>
      </c>
      <c r="I1022" s="6" t="s">
        <v>50</v>
      </c>
      <c r="J1022" s="6" t="s">
        <v>3688</v>
      </c>
      <c r="K1022">
        <v>3</v>
      </c>
      <c r="L1022" s="6" t="s">
        <v>21</v>
      </c>
      <c r="M1022" s="6" t="s">
        <v>22</v>
      </c>
      <c r="N1022">
        <v>53</v>
      </c>
    </row>
    <row r="1023" spans="1:14" x14ac:dyDescent="0.35">
      <c r="A1023" s="6" t="s">
        <v>3689</v>
      </c>
      <c r="B1023" s="7">
        <v>45222</v>
      </c>
      <c r="C1023" s="6" t="s">
        <v>3690</v>
      </c>
      <c r="D1023" s="6" t="s">
        <v>25</v>
      </c>
      <c r="E1023">
        <v>3</v>
      </c>
      <c r="F1023">
        <v>315.27</v>
      </c>
      <c r="G1023" s="6" t="s">
        <v>3192</v>
      </c>
      <c r="H1023" s="6" t="s">
        <v>34</v>
      </c>
      <c r="I1023" s="6" t="s">
        <v>35</v>
      </c>
      <c r="J1023" s="6" t="s">
        <v>3691</v>
      </c>
      <c r="K1023">
        <v>4</v>
      </c>
      <c r="L1023" s="6" t="s">
        <v>21</v>
      </c>
      <c r="M1023" s="6" t="s">
        <v>38</v>
      </c>
      <c r="N1023">
        <v>945.81</v>
      </c>
    </row>
    <row r="1024" spans="1:14" x14ac:dyDescent="0.35">
      <c r="A1024" s="6" t="s">
        <v>3692</v>
      </c>
      <c r="B1024" s="7">
        <v>45712</v>
      </c>
      <c r="C1024" s="6" t="s">
        <v>3693</v>
      </c>
      <c r="D1024" s="6" t="s">
        <v>32</v>
      </c>
      <c r="E1024">
        <v>3</v>
      </c>
      <c r="F1024">
        <v>450.98</v>
      </c>
      <c r="G1024" s="6" t="s">
        <v>2579</v>
      </c>
      <c r="H1024" s="6" t="s">
        <v>34</v>
      </c>
      <c r="I1024" s="6" t="s">
        <v>19</v>
      </c>
      <c r="J1024" s="6" t="s">
        <v>3694</v>
      </c>
      <c r="K1024">
        <v>8</v>
      </c>
      <c r="L1024" s="6" t="s">
        <v>21</v>
      </c>
      <c r="M1024" s="6" t="s">
        <v>29</v>
      </c>
      <c r="N1024">
        <v>1352.94</v>
      </c>
    </row>
    <row r="1025" spans="1:14" x14ac:dyDescent="0.35">
      <c r="A1025" s="6" t="s">
        <v>3695</v>
      </c>
      <c r="B1025" s="7">
        <v>45558</v>
      </c>
      <c r="C1025" s="6" t="s">
        <v>3696</v>
      </c>
      <c r="D1025" s="6" t="s">
        <v>58</v>
      </c>
      <c r="E1025">
        <v>5</v>
      </c>
      <c r="F1025">
        <v>233.67</v>
      </c>
      <c r="G1025" s="6" t="s">
        <v>391</v>
      </c>
      <c r="H1025" s="6" t="s">
        <v>65</v>
      </c>
      <c r="I1025" s="6" t="s">
        <v>19</v>
      </c>
      <c r="J1025" s="6" t="s">
        <v>3697</v>
      </c>
      <c r="K1025">
        <v>10</v>
      </c>
      <c r="L1025" s="6" t="s">
        <v>4283</v>
      </c>
      <c r="M1025" s="6" t="s">
        <v>29</v>
      </c>
      <c r="N1025">
        <v>1168.3499999999999</v>
      </c>
    </row>
    <row r="1026" spans="1:14" x14ac:dyDescent="0.35">
      <c r="A1026" s="6" t="s">
        <v>3698</v>
      </c>
      <c r="B1026" s="7">
        <v>45320</v>
      </c>
      <c r="C1026" s="6" t="s">
        <v>3699</v>
      </c>
      <c r="D1026" s="6" t="s">
        <v>41</v>
      </c>
      <c r="E1026">
        <v>3</v>
      </c>
      <c r="F1026">
        <v>367.75</v>
      </c>
      <c r="G1026" s="6" t="s">
        <v>1786</v>
      </c>
      <c r="H1026" s="6" t="s">
        <v>65</v>
      </c>
      <c r="I1026" s="6" t="s">
        <v>89</v>
      </c>
      <c r="J1026" s="6" t="s">
        <v>3700</v>
      </c>
      <c r="K1026">
        <v>7</v>
      </c>
      <c r="L1026" s="6" t="s">
        <v>37</v>
      </c>
      <c r="M1026" s="6" t="s">
        <v>45</v>
      </c>
      <c r="N1026">
        <v>1103.25</v>
      </c>
    </row>
    <row r="1027" spans="1:14" x14ac:dyDescent="0.35">
      <c r="A1027" s="6" t="s">
        <v>3701</v>
      </c>
      <c r="B1027" s="7">
        <v>45794</v>
      </c>
      <c r="C1027" s="6" t="s">
        <v>3702</v>
      </c>
      <c r="D1027" s="6" t="s">
        <v>41</v>
      </c>
      <c r="E1027">
        <v>1</v>
      </c>
      <c r="F1027">
        <v>23.53</v>
      </c>
      <c r="G1027" s="6" t="s">
        <v>626</v>
      </c>
      <c r="H1027" s="6" t="s">
        <v>60</v>
      </c>
      <c r="I1027" s="6" t="s">
        <v>50</v>
      </c>
      <c r="J1027" s="6" t="s">
        <v>3703</v>
      </c>
      <c r="K1027">
        <v>2</v>
      </c>
      <c r="L1027" s="6" t="s">
        <v>37</v>
      </c>
      <c r="M1027" s="6" t="s">
        <v>22</v>
      </c>
      <c r="N1027">
        <v>23.53</v>
      </c>
    </row>
    <row r="1028" spans="1:14" x14ac:dyDescent="0.35">
      <c r="A1028" s="6" t="s">
        <v>3704</v>
      </c>
      <c r="B1028" s="7">
        <v>45047</v>
      </c>
      <c r="C1028" s="6" t="s">
        <v>3705</v>
      </c>
      <c r="D1028" s="6" t="s">
        <v>16</v>
      </c>
      <c r="E1028">
        <v>1</v>
      </c>
      <c r="F1028">
        <v>677.48</v>
      </c>
      <c r="G1028" s="6" t="s">
        <v>506</v>
      </c>
      <c r="H1028" s="6" t="s">
        <v>27</v>
      </c>
      <c r="I1028" s="6" t="s">
        <v>50</v>
      </c>
      <c r="J1028" s="6" t="s">
        <v>3706</v>
      </c>
      <c r="K1028">
        <v>1</v>
      </c>
      <c r="L1028" s="6" t="s">
        <v>81</v>
      </c>
      <c r="M1028" s="6" t="s">
        <v>45</v>
      </c>
      <c r="N1028">
        <v>677.48</v>
      </c>
    </row>
    <row r="1029" spans="1:14" x14ac:dyDescent="0.35">
      <c r="A1029" s="6" t="s">
        <v>3707</v>
      </c>
      <c r="B1029" s="7">
        <v>45433</v>
      </c>
      <c r="C1029" s="6" t="s">
        <v>3708</v>
      </c>
      <c r="D1029" s="6" t="s">
        <v>58</v>
      </c>
      <c r="E1029">
        <v>4</v>
      </c>
      <c r="F1029">
        <v>554.83000000000004</v>
      </c>
      <c r="G1029" s="6" t="s">
        <v>2798</v>
      </c>
      <c r="H1029" s="6" t="s">
        <v>65</v>
      </c>
      <c r="I1029" s="6" t="s">
        <v>43</v>
      </c>
      <c r="J1029" s="6" t="s">
        <v>3709</v>
      </c>
      <c r="K1029">
        <v>6</v>
      </c>
      <c r="L1029" s="6" t="s">
        <v>4283</v>
      </c>
      <c r="M1029" s="6" t="s">
        <v>76</v>
      </c>
      <c r="N1029">
        <v>2219.3200000000002</v>
      </c>
    </row>
    <row r="1030" spans="1:14" x14ac:dyDescent="0.35">
      <c r="A1030" s="6" t="s">
        <v>3710</v>
      </c>
      <c r="B1030" s="7">
        <v>44974</v>
      </c>
      <c r="C1030" s="6" t="s">
        <v>3711</v>
      </c>
      <c r="D1030" s="6" t="s">
        <v>73</v>
      </c>
      <c r="E1030">
        <v>4</v>
      </c>
      <c r="F1030">
        <v>440.31</v>
      </c>
      <c r="G1030" s="6" t="s">
        <v>937</v>
      </c>
      <c r="H1030" s="6" t="s">
        <v>65</v>
      </c>
      <c r="I1030" s="6" t="s">
        <v>35</v>
      </c>
      <c r="J1030" s="6" t="s">
        <v>3712</v>
      </c>
      <c r="K1030">
        <v>6</v>
      </c>
      <c r="L1030" s="6" t="s">
        <v>4283</v>
      </c>
      <c r="M1030" s="6" t="s">
        <v>22</v>
      </c>
      <c r="N1030">
        <v>1761.24</v>
      </c>
    </row>
    <row r="1031" spans="1:14" x14ac:dyDescent="0.35">
      <c r="A1031" s="6" t="s">
        <v>3713</v>
      </c>
      <c r="B1031" s="7">
        <v>45717</v>
      </c>
      <c r="C1031" s="6" t="s">
        <v>3714</v>
      </c>
      <c r="D1031" s="6" t="s">
        <v>73</v>
      </c>
      <c r="E1031">
        <v>1</v>
      </c>
      <c r="F1031">
        <v>87.06</v>
      </c>
      <c r="G1031" s="6" t="s">
        <v>3483</v>
      </c>
      <c r="H1031" s="6" t="s">
        <v>34</v>
      </c>
      <c r="I1031" s="6" t="s">
        <v>19</v>
      </c>
      <c r="J1031" s="6" t="s">
        <v>3715</v>
      </c>
      <c r="K1031">
        <v>4</v>
      </c>
      <c r="L1031" s="6" t="s">
        <v>37</v>
      </c>
      <c r="M1031" s="6" t="s">
        <v>38</v>
      </c>
      <c r="N1031">
        <v>87.06</v>
      </c>
    </row>
    <row r="1032" spans="1:14" x14ac:dyDescent="0.35">
      <c r="A1032" s="6" t="s">
        <v>3716</v>
      </c>
      <c r="B1032" s="7">
        <v>45201</v>
      </c>
      <c r="C1032" s="6" t="s">
        <v>3717</v>
      </c>
      <c r="D1032" s="6" t="s">
        <v>25</v>
      </c>
      <c r="E1032">
        <v>4</v>
      </c>
      <c r="F1032">
        <v>245.28</v>
      </c>
      <c r="G1032" s="6" t="s">
        <v>3718</v>
      </c>
      <c r="H1032" s="6" t="s">
        <v>34</v>
      </c>
      <c r="I1032" s="6" t="s">
        <v>50</v>
      </c>
      <c r="J1032" s="6" t="s">
        <v>3719</v>
      </c>
      <c r="K1032">
        <v>6</v>
      </c>
      <c r="L1032" s="6" t="s">
        <v>81</v>
      </c>
      <c r="M1032" s="6" t="s">
        <v>38</v>
      </c>
      <c r="N1032">
        <v>981.12</v>
      </c>
    </row>
    <row r="1033" spans="1:14" x14ac:dyDescent="0.35">
      <c r="A1033" s="6" t="s">
        <v>3720</v>
      </c>
      <c r="B1033" s="7">
        <v>44985</v>
      </c>
      <c r="C1033" s="6" t="s">
        <v>3721</v>
      </c>
      <c r="D1033" s="6" t="s">
        <v>25</v>
      </c>
      <c r="E1033">
        <v>5</v>
      </c>
      <c r="F1033">
        <v>664.51</v>
      </c>
      <c r="G1033" s="6" t="s">
        <v>3722</v>
      </c>
      <c r="H1033" s="6" t="s">
        <v>18</v>
      </c>
      <c r="I1033" s="6" t="s">
        <v>89</v>
      </c>
      <c r="J1033" s="6" t="s">
        <v>3723</v>
      </c>
      <c r="K1033">
        <v>8</v>
      </c>
      <c r="L1033" s="6" t="s">
        <v>21</v>
      </c>
      <c r="M1033" s="6" t="s">
        <v>38</v>
      </c>
      <c r="N1033">
        <v>3322.55</v>
      </c>
    </row>
    <row r="1034" spans="1:14" x14ac:dyDescent="0.35">
      <c r="A1034" s="6" t="s">
        <v>3724</v>
      </c>
      <c r="B1034" s="7">
        <v>45036</v>
      </c>
      <c r="C1034" s="6" t="s">
        <v>3725</v>
      </c>
      <c r="D1034" s="6" t="s">
        <v>41</v>
      </c>
      <c r="E1034">
        <v>1</v>
      </c>
      <c r="F1034">
        <v>618.67999999999995</v>
      </c>
      <c r="G1034" s="6" t="s">
        <v>1133</v>
      </c>
      <c r="H1034" s="6" t="s">
        <v>27</v>
      </c>
      <c r="I1034" s="6" t="s">
        <v>50</v>
      </c>
      <c r="J1034" s="6" t="s">
        <v>3726</v>
      </c>
      <c r="K1034">
        <v>6</v>
      </c>
      <c r="L1034" s="6" t="s">
        <v>81</v>
      </c>
      <c r="M1034" s="6" t="s">
        <v>29</v>
      </c>
      <c r="N1034">
        <v>618.67999999999995</v>
      </c>
    </row>
    <row r="1035" spans="1:14" x14ac:dyDescent="0.35">
      <c r="A1035" s="6" t="s">
        <v>3727</v>
      </c>
      <c r="B1035" s="7">
        <v>45650</v>
      </c>
      <c r="C1035" s="6" t="s">
        <v>3728</v>
      </c>
      <c r="D1035" s="6" t="s">
        <v>16</v>
      </c>
      <c r="E1035">
        <v>1</v>
      </c>
      <c r="F1035">
        <v>370.85</v>
      </c>
      <c r="G1035" s="6" t="s">
        <v>3729</v>
      </c>
      <c r="H1035" s="6" t="s">
        <v>60</v>
      </c>
      <c r="I1035" s="6" t="s">
        <v>50</v>
      </c>
      <c r="J1035" s="6" t="s">
        <v>3730</v>
      </c>
      <c r="K1035">
        <v>2</v>
      </c>
      <c r="L1035" s="6" t="s">
        <v>37</v>
      </c>
      <c r="M1035" s="6" t="s">
        <v>29</v>
      </c>
      <c r="N1035">
        <v>370.85</v>
      </c>
    </row>
    <row r="1036" spans="1:14" x14ac:dyDescent="0.35">
      <c r="A1036" s="6" t="s">
        <v>3731</v>
      </c>
      <c r="B1036" s="7">
        <v>45459</v>
      </c>
      <c r="C1036" s="6" t="s">
        <v>3732</v>
      </c>
      <c r="D1036" s="6" t="s">
        <v>48</v>
      </c>
      <c r="E1036">
        <v>4</v>
      </c>
      <c r="F1036">
        <v>517.98</v>
      </c>
      <c r="G1036" s="6" t="s">
        <v>3733</v>
      </c>
      <c r="H1036" s="6" t="s">
        <v>65</v>
      </c>
      <c r="I1036" s="6" t="s">
        <v>35</v>
      </c>
      <c r="J1036" s="6" t="s">
        <v>3734</v>
      </c>
      <c r="K1036">
        <v>8</v>
      </c>
      <c r="L1036" s="6" t="s">
        <v>37</v>
      </c>
      <c r="M1036" s="6" t="s">
        <v>45</v>
      </c>
      <c r="N1036">
        <v>2071.92</v>
      </c>
    </row>
    <row r="1037" spans="1:14" x14ac:dyDescent="0.35">
      <c r="A1037" s="6" t="s">
        <v>3735</v>
      </c>
      <c r="B1037" s="7">
        <v>45242</v>
      </c>
      <c r="C1037" s="6" t="s">
        <v>3736</v>
      </c>
      <c r="D1037" s="6" t="s">
        <v>58</v>
      </c>
      <c r="E1037">
        <v>4</v>
      </c>
      <c r="F1037">
        <v>506.11</v>
      </c>
      <c r="G1037" s="6" t="s">
        <v>3737</v>
      </c>
      <c r="H1037" s="6" t="s">
        <v>65</v>
      </c>
      <c r="I1037" s="6" t="s">
        <v>35</v>
      </c>
      <c r="J1037" s="6" t="s">
        <v>3738</v>
      </c>
      <c r="K1037">
        <v>5</v>
      </c>
      <c r="L1037" s="6" t="s">
        <v>4283</v>
      </c>
      <c r="M1037" s="6" t="s">
        <v>29</v>
      </c>
      <c r="N1037">
        <v>2024.44</v>
      </c>
    </row>
    <row r="1038" spans="1:14" x14ac:dyDescent="0.35">
      <c r="A1038" s="6" t="s">
        <v>3739</v>
      </c>
      <c r="B1038" s="7">
        <v>45443</v>
      </c>
      <c r="C1038" s="6" t="s">
        <v>3740</v>
      </c>
      <c r="D1038" s="6" t="s">
        <v>25</v>
      </c>
      <c r="E1038">
        <v>3</v>
      </c>
      <c r="F1038">
        <v>413.83</v>
      </c>
      <c r="G1038" s="6" t="s">
        <v>312</v>
      </c>
      <c r="H1038" s="6" t="s">
        <v>60</v>
      </c>
      <c r="I1038" s="6" t="s">
        <v>19</v>
      </c>
      <c r="J1038" s="6" t="s">
        <v>3741</v>
      </c>
      <c r="K1038">
        <v>8</v>
      </c>
      <c r="L1038" s="6" t="s">
        <v>21</v>
      </c>
      <c r="M1038" s="6" t="s">
        <v>45</v>
      </c>
      <c r="N1038">
        <v>1241.49</v>
      </c>
    </row>
    <row r="1039" spans="1:14" x14ac:dyDescent="0.35">
      <c r="A1039" s="6" t="s">
        <v>3742</v>
      </c>
      <c r="B1039" s="7">
        <v>45273</v>
      </c>
      <c r="C1039" s="6" t="s">
        <v>3743</v>
      </c>
      <c r="D1039" s="6" t="s">
        <v>48</v>
      </c>
      <c r="E1039">
        <v>1</v>
      </c>
      <c r="F1039">
        <v>249.81</v>
      </c>
      <c r="G1039" s="6" t="s">
        <v>2565</v>
      </c>
      <c r="H1039" s="6" t="s">
        <v>65</v>
      </c>
      <c r="I1039" s="6" t="s">
        <v>89</v>
      </c>
      <c r="J1039" s="6" t="s">
        <v>3744</v>
      </c>
      <c r="K1039">
        <v>1</v>
      </c>
      <c r="L1039" s="6" t="s">
        <v>21</v>
      </c>
      <c r="M1039" s="6" t="s">
        <v>76</v>
      </c>
      <c r="N1039">
        <v>249.81</v>
      </c>
    </row>
    <row r="1040" spans="1:14" x14ac:dyDescent="0.35">
      <c r="A1040" s="6" t="s">
        <v>3745</v>
      </c>
      <c r="B1040" s="7">
        <v>45731</v>
      </c>
      <c r="C1040" s="6" t="s">
        <v>3746</v>
      </c>
      <c r="D1040" s="6" t="s">
        <v>32</v>
      </c>
      <c r="E1040">
        <v>3</v>
      </c>
      <c r="F1040">
        <v>362.53</v>
      </c>
      <c r="G1040" s="6" t="s">
        <v>3747</v>
      </c>
      <c r="H1040" s="6" t="s">
        <v>18</v>
      </c>
      <c r="I1040" s="6" t="s">
        <v>43</v>
      </c>
      <c r="J1040" s="6" t="s">
        <v>3748</v>
      </c>
      <c r="K1040">
        <v>5</v>
      </c>
      <c r="L1040" s="6" t="s">
        <v>4283</v>
      </c>
      <c r="M1040" s="6" t="s">
        <v>45</v>
      </c>
      <c r="N1040">
        <v>1087.5899999999999</v>
      </c>
    </row>
    <row r="1041" spans="1:14" x14ac:dyDescent="0.35">
      <c r="A1041" s="6" t="s">
        <v>3749</v>
      </c>
      <c r="B1041" s="7">
        <v>45836</v>
      </c>
      <c r="C1041" s="6" t="s">
        <v>3750</v>
      </c>
      <c r="D1041" s="6" t="s">
        <v>73</v>
      </c>
      <c r="E1041">
        <v>2</v>
      </c>
      <c r="F1041">
        <v>299.23</v>
      </c>
      <c r="G1041" s="6" t="s">
        <v>3751</v>
      </c>
      <c r="H1041" s="6" t="s">
        <v>34</v>
      </c>
      <c r="I1041" s="6" t="s">
        <v>35</v>
      </c>
      <c r="J1041" s="6" t="s">
        <v>3752</v>
      </c>
      <c r="K1041">
        <v>2</v>
      </c>
      <c r="L1041" s="6" t="s">
        <v>81</v>
      </c>
      <c r="M1041" s="6" t="s">
        <v>22</v>
      </c>
      <c r="N1041">
        <v>598.46</v>
      </c>
    </row>
    <row r="1042" spans="1:14" x14ac:dyDescent="0.35">
      <c r="A1042" s="6" t="s">
        <v>3753</v>
      </c>
      <c r="B1042" s="7">
        <v>45245</v>
      </c>
      <c r="C1042" s="6" t="s">
        <v>3754</v>
      </c>
      <c r="D1042" s="6" t="s">
        <v>32</v>
      </c>
      <c r="E1042">
        <v>1</v>
      </c>
      <c r="F1042">
        <v>536.07000000000005</v>
      </c>
      <c r="G1042" s="6" t="s">
        <v>2116</v>
      </c>
      <c r="H1042" s="6" t="s">
        <v>18</v>
      </c>
      <c r="I1042" s="6" t="s">
        <v>50</v>
      </c>
      <c r="J1042" s="6" t="s">
        <v>3755</v>
      </c>
      <c r="K1042">
        <v>5</v>
      </c>
      <c r="L1042" s="6" t="s">
        <v>37</v>
      </c>
      <c r="M1042" s="6" t="s">
        <v>76</v>
      </c>
      <c r="N1042">
        <v>536.07000000000005</v>
      </c>
    </row>
    <row r="1043" spans="1:14" x14ac:dyDescent="0.35">
      <c r="A1043" s="6" t="s">
        <v>3756</v>
      </c>
      <c r="B1043" s="7">
        <v>44968</v>
      </c>
      <c r="C1043" s="6" t="s">
        <v>3757</v>
      </c>
      <c r="D1043" s="6" t="s">
        <v>16</v>
      </c>
      <c r="E1043">
        <v>4</v>
      </c>
      <c r="F1043">
        <v>558.9</v>
      </c>
      <c r="G1043" s="6" t="s">
        <v>929</v>
      </c>
      <c r="H1043" s="6" t="s">
        <v>60</v>
      </c>
      <c r="I1043" s="6" t="s">
        <v>19</v>
      </c>
      <c r="J1043" s="6" t="s">
        <v>3758</v>
      </c>
      <c r="K1043">
        <v>9</v>
      </c>
      <c r="L1043" s="6" t="s">
        <v>81</v>
      </c>
      <c r="M1043" s="6" t="s">
        <v>76</v>
      </c>
      <c r="N1043">
        <v>2235.6</v>
      </c>
    </row>
    <row r="1044" spans="1:14" x14ac:dyDescent="0.35">
      <c r="A1044" s="6" t="s">
        <v>3759</v>
      </c>
      <c r="B1044" s="7">
        <v>45635</v>
      </c>
      <c r="C1044" s="6" t="s">
        <v>3760</v>
      </c>
      <c r="D1044" s="6" t="s">
        <v>32</v>
      </c>
      <c r="E1044">
        <v>2</v>
      </c>
      <c r="F1044">
        <v>409.75</v>
      </c>
      <c r="G1044" s="6" t="s">
        <v>1281</v>
      </c>
      <c r="H1044" s="6" t="s">
        <v>18</v>
      </c>
      <c r="I1044" s="6" t="s">
        <v>19</v>
      </c>
      <c r="J1044" s="6" t="s">
        <v>3761</v>
      </c>
      <c r="K1044">
        <v>2</v>
      </c>
      <c r="L1044" s="6" t="s">
        <v>81</v>
      </c>
      <c r="M1044" s="6" t="s">
        <v>45</v>
      </c>
      <c r="N1044">
        <v>819.5</v>
      </c>
    </row>
    <row r="1045" spans="1:14" x14ac:dyDescent="0.35">
      <c r="A1045" s="6" t="s">
        <v>3762</v>
      </c>
      <c r="B1045" s="7">
        <v>45668</v>
      </c>
      <c r="C1045" s="6" t="s">
        <v>3763</v>
      </c>
      <c r="D1045" s="6" t="s">
        <v>32</v>
      </c>
      <c r="E1045">
        <v>2</v>
      </c>
      <c r="F1045">
        <v>179.96</v>
      </c>
      <c r="G1045" s="6" t="s">
        <v>3522</v>
      </c>
      <c r="H1045" s="6" t="s">
        <v>60</v>
      </c>
      <c r="I1045" s="6" t="s">
        <v>19</v>
      </c>
      <c r="J1045" s="6" t="s">
        <v>3764</v>
      </c>
      <c r="K1045">
        <v>5</v>
      </c>
      <c r="L1045" s="6" t="s">
        <v>4283</v>
      </c>
      <c r="M1045" s="6" t="s">
        <v>22</v>
      </c>
      <c r="N1045">
        <v>359.92</v>
      </c>
    </row>
    <row r="1046" spans="1:14" x14ac:dyDescent="0.35">
      <c r="A1046" s="6" t="s">
        <v>3765</v>
      </c>
      <c r="B1046" s="7">
        <v>45830</v>
      </c>
      <c r="C1046" s="6" t="s">
        <v>3766</v>
      </c>
      <c r="D1046" s="6" t="s">
        <v>48</v>
      </c>
      <c r="E1046">
        <v>1</v>
      </c>
      <c r="F1046">
        <v>38.49</v>
      </c>
      <c r="G1046" s="6" t="s">
        <v>3767</v>
      </c>
      <c r="H1046" s="6" t="s">
        <v>34</v>
      </c>
      <c r="I1046" s="6" t="s">
        <v>50</v>
      </c>
      <c r="J1046" s="6" t="s">
        <v>3768</v>
      </c>
      <c r="K1046">
        <v>4</v>
      </c>
      <c r="L1046" s="6" t="s">
        <v>37</v>
      </c>
      <c r="M1046" s="6" t="s">
        <v>29</v>
      </c>
      <c r="N1046">
        <v>38.49</v>
      </c>
    </row>
    <row r="1047" spans="1:14" x14ac:dyDescent="0.35">
      <c r="A1047" s="6" t="s">
        <v>3769</v>
      </c>
      <c r="B1047" s="7">
        <v>45555</v>
      </c>
      <c r="C1047" s="6" t="s">
        <v>3770</v>
      </c>
      <c r="D1047" s="6" t="s">
        <v>58</v>
      </c>
      <c r="E1047">
        <v>5</v>
      </c>
      <c r="F1047">
        <v>316.39999999999998</v>
      </c>
      <c r="G1047" s="6" t="s">
        <v>3771</v>
      </c>
      <c r="H1047" s="6" t="s">
        <v>60</v>
      </c>
      <c r="I1047" s="6" t="s">
        <v>43</v>
      </c>
      <c r="J1047" s="6" t="s">
        <v>3772</v>
      </c>
      <c r="K1047">
        <v>7</v>
      </c>
      <c r="L1047" s="6" t="s">
        <v>4283</v>
      </c>
      <c r="M1047" s="6" t="s">
        <v>38</v>
      </c>
      <c r="N1047">
        <v>1582</v>
      </c>
    </row>
    <row r="1048" spans="1:14" x14ac:dyDescent="0.35">
      <c r="A1048" s="6" t="s">
        <v>3773</v>
      </c>
      <c r="B1048" s="7">
        <v>45572</v>
      </c>
      <c r="C1048" s="6" t="s">
        <v>3774</v>
      </c>
      <c r="D1048" s="6" t="s">
        <v>32</v>
      </c>
      <c r="E1048">
        <v>3</v>
      </c>
      <c r="F1048">
        <v>547.15</v>
      </c>
      <c r="G1048" s="6" t="s">
        <v>3775</v>
      </c>
      <c r="H1048" s="6" t="s">
        <v>27</v>
      </c>
      <c r="I1048" s="6" t="s">
        <v>19</v>
      </c>
      <c r="J1048" s="6" t="s">
        <v>3776</v>
      </c>
      <c r="K1048">
        <v>4</v>
      </c>
      <c r="L1048" s="6" t="s">
        <v>81</v>
      </c>
      <c r="M1048" s="6" t="s">
        <v>22</v>
      </c>
      <c r="N1048">
        <v>1641.45</v>
      </c>
    </row>
    <row r="1049" spans="1:14" x14ac:dyDescent="0.35">
      <c r="A1049" s="6" t="s">
        <v>3777</v>
      </c>
      <c r="B1049" s="7">
        <v>45100</v>
      </c>
      <c r="C1049" s="6" t="s">
        <v>3778</v>
      </c>
      <c r="D1049" s="6" t="s">
        <v>41</v>
      </c>
      <c r="E1049">
        <v>4</v>
      </c>
      <c r="F1049">
        <v>540.34</v>
      </c>
      <c r="G1049" s="6" t="s">
        <v>3779</v>
      </c>
      <c r="H1049" s="6" t="s">
        <v>60</v>
      </c>
      <c r="I1049" s="6" t="s">
        <v>19</v>
      </c>
      <c r="J1049" s="6" t="s">
        <v>3780</v>
      </c>
      <c r="K1049">
        <v>6</v>
      </c>
      <c r="L1049" s="6" t="s">
        <v>81</v>
      </c>
      <c r="M1049" s="6" t="s">
        <v>29</v>
      </c>
      <c r="N1049">
        <v>2161.36</v>
      </c>
    </row>
    <row r="1050" spans="1:14" x14ac:dyDescent="0.35">
      <c r="A1050" s="6" t="s">
        <v>3781</v>
      </c>
      <c r="B1050" s="7">
        <v>45544</v>
      </c>
      <c r="C1050" s="6" t="s">
        <v>3782</v>
      </c>
      <c r="D1050" s="6" t="s">
        <v>16</v>
      </c>
      <c r="E1050">
        <v>4</v>
      </c>
      <c r="F1050">
        <v>73.650000000000006</v>
      </c>
      <c r="G1050" s="6" t="s">
        <v>3783</v>
      </c>
      <c r="H1050" s="6" t="s">
        <v>18</v>
      </c>
      <c r="I1050" s="6" t="s">
        <v>19</v>
      </c>
      <c r="J1050" s="6" t="s">
        <v>3784</v>
      </c>
      <c r="K1050">
        <v>9</v>
      </c>
      <c r="L1050" s="6" t="s">
        <v>4283</v>
      </c>
      <c r="M1050" s="6" t="s">
        <v>76</v>
      </c>
      <c r="N1050">
        <v>294.60000000000002</v>
      </c>
    </row>
    <row r="1051" spans="1:14" x14ac:dyDescent="0.35">
      <c r="A1051" s="6" t="s">
        <v>3785</v>
      </c>
      <c r="B1051" s="7">
        <v>45491</v>
      </c>
      <c r="C1051" s="6" t="s">
        <v>3786</v>
      </c>
      <c r="D1051" s="6" t="s">
        <v>73</v>
      </c>
      <c r="E1051">
        <v>5</v>
      </c>
      <c r="F1051">
        <v>391.86</v>
      </c>
      <c r="G1051" s="6" t="s">
        <v>121</v>
      </c>
      <c r="H1051" s="6" t="s">
        <v>34</v>
      </c>
      <c r="I1051" s="6" t="s">
        <v>19</v>
      </c>
      <c r="J1051" s="6" t="s">
        <v>3787</v>
      </c>
      <c r="K1051">
        <v>6</v>
      </c>
      <c r="L1051" s="6" t="s">
        <v>4283</v>
      </c>
      <c r="M1051" s="6" t="s">
        <v>22</v>
      </c>
      <c r="N1051">
        <v>1959.3</v>
      </c>
    </row>
    <row r="1052" spans="1:14" x14ac:dyDescent="0.35">
      <c r="A1052" s="6" t="s">
        <v>3788</v>
      </c>
      <c r="B1052" s="7">
        <v>45158</v>
      </c>
      <c r="C1052" s="6" t="s">
        <v>3789</v>
      </c>
      <c r="D1052" s="6" t="s">
        <v>58</v>
      </c>
      <c r="E1052">
        <v>5</v>
      </c>
      <c r="F1052">
        <v>69.7</v>
      </c>
      <c r="G1052" s="6" t="s">
        <v>2029</v>
      </c>
      <c r="H1052" s="6" t="s">
        <v>27</v>
      </c>
      <c r="I1052" s="6" t="s">
        <v>43</v>
      </c>
      <c r="J1052" s="6" t="s">
        <v>3790</v>
      </c>
      <c r="K1052">
        <v>9</v>
      </c>
      <c r="L1052" s="6" t="s">
        <v>4283</v>
      </c>
      <c r="M1052" s="6" t="s">
        <v>22</v>
      </c>
      <c r="N1052">
        <v>348.5</v>
      </c>
    </row>
    <row r="1053" spans="1:14" x14ac:dyDescent="0.35">
      <c r="A1053" s="6" t="s">
        <v>3791</v>
      </c>
      <c r="B1053" s="7">
        <v>45721</v>
      </c>
      <c r="C1053" s="6" t="s">
        <v>3792</v>
      </c>
      <c r="D1053" s="6" t="s">
        <v>16</v>
      </c>
      <c r="E1053">
        <v>5</v>
      </c>
      <c r="F1053">
        <v>26.43</v>
      </c>
      <c r="G1053" s="6" t="s">
        <v>3793</v>
      </c>
      <c r="H1053" s="6" t="s">
        <v>60</v>
      </c>
      <c r="I1053" s="6" t="s">
        <v>19</v>
      </c>
      <c r="J1053" s="6" t="s">
        <v>3794</v>
      </c>
      <c r="K1053">
        <v>5</v>
      </c>
      <c r="L1053" s="6" t="s">
        <v>37</v>
      </c>
      <c r="M1053" s="6" t="s">
        <v>45</v>
      </c>
      <c r="N1053">
        <v>132.15</v>
      </c>
    </row>
    <row r="1054" spans="1:14" x14ac:dyDescent="0.35">
      <c r="A1054" s="6" t="s">
        <v>3795</v>
      </c>
      <c r="B1054" s="7">
        <v>45180</v>
      </c>
      <c r="C1054" s="6" t="s">
        <v>3796</v>
      </c>
      <c r="D1054" s="6" t="s">
        <v>32</v>
      </c>
      <c r="E1054">
        <v>1</v>
      </c>
      <c r="F1054">
        <v>531.74</v>
      </c>
      <c r="G1054" s="6" t="s">
        <v>3797</v>
      </c>
      <c r="H1054" s="6" t="s">
        <v>27</v>
      </c>
      <c r="I1054" s="6" t="s">
        <v>19</v>
      </c>
      <c r="J1054" s="6" t="s">
        <v>3798</v>
      </c>
      <c r="K1054">
        <v>1</v>
      </c>
      <c r="L1054" s="6" t="s">
        <v>81</v>
      </c>
      <c r="M1054" s="6" t="s">
        <v>76</v>
      </c>
      <c r="N1054">
        <v>531.74</v>
      </c>
    </row>
    <row r="1055" spans="1:14" x14ac:dyDescent="0.35">
      <c r="A1055" s="6" t="s">
        <v>3799</v>
      </c>
      <c r="B1055" s="7">
        <v>45550</v>
      </c>
      <c r="C1055" s="6" t="s">
        <v>3800</v>
      </c>
      <c r="D1055" s="6" t="s">
        <v>25</v>
      </c>
      <c r="E1055">
        <v>2</v>
      </c>
      <c r="F1055">
        <v>496.62</v>
      </c>
      <c r="G1055" s="6" t="s">
        <v>3431</v>
      </c>
      <c r="H1055" s="6" t="s">
        <v>27</v>
      </c>
      <c r="I1055" s="6" t="s">
        <v>89</v>
      </c>
      <c r="J1055" s="6" t="s">
        <v>3801</v>
      </c>
      <c r="K1055">
        <v>2</v>
      </c>
      <c r="L1055" s="6" t="s">
        <v>21</v>
      </c>
      <c r="M1055" s="6" t="s">
        <v>22</v>
      </c>
      <c r="N1055">
        <v>993.24</v>
      </c>
    </row>
    <row r="1056" spans="1:14" x14ac:dyDescent="0.35">
      <c r="A1056" s="6" t="s">
        <v>3802</v>
      </c>
      <c r="B1056" s="7">
        <v>45259</v>
      </c>
      <c r="C1056" s="6" t="s">
        <v>3803</v>
      </c>
      <c r="D1056" s="6" t="s">
        <v>48</v>
      </c>
      <c r="E1056">
        <v>1</v>
      </c>
      <c r="F1056">
        <v>660.66</v>
      </c>
      <c r="G1056" s="6" t="s">
        <v>379</v>
      </c>
      <c r="H1056" s="6" t="s">
        <v>18</v>
      </c>
      <c r="I1056" s="6" t="s">
        <v>50</v>
      </c>
      <c r="J1056" s="6" t="s">
        <v>3804</v>
      </c>
      <c r="K1056">
        <v>3</v>
      </c>
      <c r="L1056" s="6" t="s">
        <v>81</v>
      </c>
      <c r="M1056" s="6" t="s">
        <v>22</v>
      </c>
      <c r="N1056">
        <v>660.66</v>
      </c>
    </row>
    <row r="1057" spans="1:14" x14ac:dyDescent="0.35">
      <c r="A1057" s="6" t="s">
        <v>3805</v>
      </c>
      <c r="B1057" s="7">
        <v>45222</v>
      </c>
      <c r="C1057" s="6" t="s">
        <v>3806</v>
      </c>
      <c r="D1057" s="6" t="s">
        <v>16</v>
      </c>
      <c r="E1057">
        <v>4</v>
      </c>
      <c r="F1057">
        <v>274.82</v>
      </c>
      <c r="G1057" s="6" t="s">
        <v>2116</v>
      </c>
      <c r="H1057" s="6" t="s">
        <v>18</v>
      </c>
      <c r="I1057" s="6" t="s">
        <v>50</v>
      </c>
      <c r="J1057" s="6" t="s">
        <v>3807</v>
      </c>
      <c r="K1057">
        <v>9</v>
      </c>
      <c r="L1057" s="6" t="s">
        <v>81</v>
      </c>
      <c r="M1057" s="6" t="s">
        <v>38</v>
      </c>
      <c r="N1057">
        <v>1099.28</v>
      </c>
    </row>
    <row r="1058" spans="1:14" x14ac:dyDescent="0.35">
      <c r="A1058" s="6" t="s">
        <v>3808</v>
      </c>
      <c r="B1058" s="7">
        <v>45457</v>
      </c>
      <c r="C1058" s="6" t="s">
        <v>3809</v>
      </c>
      <c r="D1058" s="6" t="s">
        <v>25</v>
      </c>
      <c r="E1058">
        <v>2</v>
      </c>
      <c r="F1058">
        <v>486.35</v>
      </c>
      <c r="G1058" s="6" t="s">
        <v>719</v>
      </c>
      <c r="H1058" s="6" t="s">
        <v>27</v>
      </c>
      <c r="I1058" s="6" t="s">
        <v>89</v>
      </c>
      <c r="J1058" s="6" t="s">
        <v>3810</v>
      </c>
      <c r="K1058">
        <v>6</v>
      </c>
      <c r="L1058" s="6" t="s">
        <v>21</v>
      </c>
      <c r="M1058" s="6" t="s">
        <v>29</v>
      </c>
      <c r="N1058">
        <v>972.7</v>
      </c>
    </row>
    <row r="1059" spans="1:14" x14ac:dyDescent="0.35">
      <c r="A1059" s="6" t="s">
        <v>3811</v>
      </c>
      <c r="B1059" s="7">
        <v>45559</v>
      </c>
      <c r="C1059" s="6" t="s">
        <v>3812</v>
      </c>
      <c r="D1059" s="6" t="s">
        <v>58</v>
      </c>
      <c r="E1059">
        <v>3</v>
      </c>
      <c r="F1059">
        <v>428.88</v>
      </c>
      <c r="G1059" s="6" t="s">
        <v>704</v>
      </c>
      <c r="H1059" s="6" t="s">
        <v>18</v>
      </c>
      <c r="I1059" s="6" t="s">
        <v>19</v>
      </c>
      <c r="J1059" s="6" t="s">
        <v>3813</v>
      </c>
      <c r="K1059">
        <v>3</v>
      </c>
      <c r="L1059" s="6" t="s">
        <v>81</v>
      </c>
      <c r="M1059" s="6" t="s">
        <v>45</v>
      </c>
      <c r="N1059">
        <v>1286.6400000000001</v>
      </c>
    </row>
    <row r="1060" spans="1:14" x14ac:dyDescent="0.35">
      <c r="A1060" s="6" t="s">
        <v>3814</v>
      </c>
      <c r="B1060" s="7">
        <v>45177</v>
      </c>
      <c r="C1060" s="6" t="s">
        <v>3815</v>
      </c>
      <c r="D1060" s="6" t="s">
        <v>73</v>
      </c>
      <c r="E1060">
        <v>2</v>
      </c>
      <c r="F1060">
        <v>412.14</v>
      </c>
      <c r="G1060" s="6" t="s">
        <v>1081</v>
      </c>
      <c r="H1060" s="6" t="s">
        <v>34</v>
      </c>
      <c r="I1060" s="6" t="s">
        <v>43</v>
      </c>
      <c r="J1060" s="6" t="s">
        <v>3816</v>
      </c>
      <c r="K1060">
        <v>2</v>
      </c>
      <c r="L1060" s="6" t="s">
        <v>37</v>
      </c>
      <c r="M1060" s="6" t="s">
        <v>22</v>
      </c>
      <c r="N1060">
        <v>824.28</v>
      </c>
    </row>
    <row r="1061" spans="1:14" x14ac:dyDescent="0.35">
      <c r="A1061" s="6" t="s">
        <v>3817</v>
      </c>
      <c r="B1061" s="7">
        <v>45557</v>
      </c>
      <c r="C1061" s="6" t="s">
        <v>3818</v>
      </c>
      <c r="D1061" s="6" t="s">
        <v>73</v>
      </c>
      <c r="E1061">
        <v>1</v>
      </c>
      <c r="F1061">
        <v>265.64</v>
      </c>
      <c r="G1061" s="6" t="s">
        <v>3819</v>
      </c>
      <c r="H1061" s="6" t="s">
        <v>34</v>
      </c>
      <c r="I1061" s="6" t="s">
        <v>43</v>
      </c>
      <c r="J1061" s="6" t="s">
        <v>3820</v>
      </c>
      <c r="K1061">
        <v>3</v>
      </c>
      <c r="L1061" s="6" t="s">
        <v>81</v>
      </c>
      <c r="M1061" s="6" t="s">
        <v>22</v>
      </c>
      <c r="N1061">
        <v>265.64</v>
      </c>
    </row>
    <row r="1062" spans="1:14" x14ac:dyDescent="0.35">
      <c r="A1062" s="6" t="s">
        <v>3821</v>
      </c>
      <c r="B1062" s="7">
        <v>45419</v>
      </c>
      <c r="C1062" s="6" t="s">
        <v>3822</v>
      </c>
      <c r="D1062" s="6" t="s">
        <v>32</v>
      </c>
      <c r="E1062">
        <v>2</v>
      </c>
      <c r="F1062">
        <v>273.43</v>
      </c>
      <c r="G1062" s="6" t="s">
        <v>1380</v>
      </c>
      <c r="H1062" s="6" t="s">
        <v>65</v>
      </c>
      <c r="I1062" s="6" t="s">
        <v>19</v>
      </c>
      <c r="J1062" s="6" t="s">
        <v>3823</v>
      </c>
      <c r="K1062">
        <v>7</v>
      </c>
      <c r="L1062" s="6" t="s">
        <v>81</v>
      </c>
      <c r="M1062" s="6" t="s">
        <v>29</v>
      </c>
      <c r="N1062">
        <v>546.86</v>
      </c>
    </row>
    <row r="1063" spans="1:14" x14ac:dyDescent="0.35">
      <c r="A1063" s="6" t="s">
        <v>3824</v>
      </c>
      <c r="B1063" s="7">
        <v>45686</v>
      </c>
      <c r="C1063" s="6" t="s">
        <v>3825</v>
      </c>
      <c r="D1063" s="6" t="s">
        <v>58</v>
      </c>
      <c r="E1063">
        <v>5</v>
      </c>
      <c r="F1063">
        <v>131.69999999999999</v>
      </c>
      <c r="G1063" s="6" t="s">
        <v>169</v>
      </c>
      <c r="H1063" s="6" t="s">
        <v>65</v>
      </c>
      <c r="I1063" s="6" t="s">
        <v>19</v>
      </c>
      <c r="J1063" s="6" t="s">
        <v>3826</v>
      </c>
      <c r="K1063">
        <v>8</v>
      </c>
      <c r="L1063" s="6" t="s">
        <v>37</v>
      </c>
      <c r="M1063" s="6" t="s">
        <v>76</v>
      </c>
      <c r="N1063">
        <v>658.5</v>
      </c>
    </row>
    <row r="1064" spans="1:14" x14ac:dyDescent="0.35">
      <c r="A1064" s="6" t="s">
        <v>3827</v>
      </c>
      <c r="B1064" s="7">
        <v>45161</v>
      </c>
      <c r="C1064" s="6" t="s">
        <v>3828</v>
      </c>
      <c r="D1064" s="6" t="s">
        <v>41</v>
      </c>
      <c r="E1064">
        <v>5</v>
      </c>
      <c r="F1064">
        <v>85.52</v>
      </c>
      <c r="G1064" s="6" t="s">
        <v>1252</v>
      </c>
      <c r="H1064" s="6" t="s">
        <v>60</v>
      </c>
      <c r="I1064" s="6" t="s">
        <v>35</v>
      </c>
      <c r="J1064" s="6" t="s">
        <v>3829</v>
      </c>
      <c r="K1064">
        <v>5</v>
      </c>
      <c r="L1064" s="6" t="s">
        <v>4283</v>
      </c>
      <c r="M1064" s="6" t="s">
        <v>45</v>
      </c>
      <c r="N1064">
        <v>427.6</v>
      </c>
    </row>
    <row r="1065" spans="1:14" x14ac:dyDescent="0.35">
      <c r="A1065" s="6" t="s">
        <v>3830</v>
      </c>
      <c r="B1065" s="7">
        <v>45462</v>
      </c>
      <c r="C1065" s="6" t="s">
        <v>3831</v>
      </c>
      <c r="D1065" s="6" t="s">
        <v>73</v>
      </c>
      <c r="E1065">
        <v>2</v>
      </c>
      <c r="F1065">
        <v>320.68</v>
      </c>
      <c r="G1065" s="6" t="s">
        <v>708</v>
      </c>
      <c r="H1065" s="6" t="s">
        <v>34</v>
      </c>
      <c r="I1065" s="6" t="s">
        <v>19</v>
      </c>
      <c r="J1065" s="6" t="s">
        <v>3832</v>
      </c>
      <c r="K1065">
        <v>5</v>
      </c>
      <c r="L1065" s="6" t="s">
        <v>37</v>
      </c>
      <c r="M1065" s="6" t="s">
        <v>29</v>
      </c>
      <c r="N1065">
        <v>641.36</v>
      </c>
    </row>
    <row r="1066" spans="1:14" x14ac:dyDescent="0.35">
      <c r="A1066" s="6" t="s">
        <v>3833</v>
      </c>
      <c r="B1066" s="7">
        <v>45700</v>
      </c>
      <c r="C1066" s="6" t="s">
        <v>3834</v>
      </c>
      <c r="D1066" s="6" t="s">
        <v>58</v>
      </c>
      <c r="E1066">
        <v>4</v>
      </c>
      <c r="F1066">
        <v>198.81</v>
      </c>
      <c r="G1066" s="6" t="s">
        <v>1105</v>
      </c>
      <c r="H1066" s="6" t="s">
        <v>65</v>
      </c>
      <c r="I1066" s="6" t="s">
        <v>43</v>
      </c>
      <c r="J1066" s="6" t="s">
        <v>3835</v>
      </c>
      <c r="K1066">
        <v>9</v>
      </c>
      <c r="L1066" s="6" t="s">
        <v>37</v>
      </c>
      <c r="M1066" s="6" t="s">
        <v>29</v>
      </c>
      <c r="N1066">
        <v>795.24</v>
      </c>
    </row>
    <row r="1067" spans="1:14" x14ac:dyDescent="0.35">
      <c r="A1067" s="6" t="s">
        <v>3836</v>
      </c>
      <c r="B1067" s="7">
        <v>45229</v>
      </c>
      <c r="C1067" s="6" t="s">
        <v>3837</v>
      </c>
      <c r="D1067" s="6" t="s">
        <v>48</v>
      </c>
      <c r="E1067">
        <v>5</v>
      </c>
      <c r="F1067">
        <v>666.8</v>
      </c>
      <c r="G1067" s="6" t="s">
        <v>1652</v>
      </c>
      <c r="H1067" s="6" t="s">
        <v>18</v>
      </c>
      <c r="I1067" s="6" t="s">
        <v>50</v>
      </c>
      <c r="J1067" s="6" t="s">
        <v>3838</v>
      </c>
      <c r="K1067">
        <v>7</v>
      </c>
      <c r="L1067" s="6" t="s">
        <v>21</v>
      </c>
      <c r="M1067" s="6" t="s">
        <v>29</v>
      </c>
      <c r="N1067">
        <v>3334</v>
      </c>
    </row>
    <row r="1068" spans="1:14" x14ac:dyDescent="0.35">
      <c r="A1068" s="6" t="s">
        <v>3839</v>
      </c>
      <c r="B1068" s="7">
        <v>45280</v>
      </c>
      <c r="C1068" s="6" t="s">
        <v>3840</v>
      </c>
      <c r="D1068" s="6" t="s">
        <v>73</v>
      </c>
      <c r="E1068">
        <v>1</v>
      </c>
      <c r="F1068">
        <v>355.09</v>
      </c>
      <c r="G1068" s="6" t="s">
        <v>2586</v>
      </c>
      <c r="H1068" s="6" t="s">
        <v>18</v>
      </c>
      <c r="I1068" s="6" t="s">
        <v>35</v>
      </c>
      <c r="J1068" s="6" t="s">
        <v>3841</v>
      </c>
      <c r="K1068">
        <v>5</v>
      </c>
      <c r="L1068" s="6" t="s">
        <v>21</v>
      </c>
      <c r="M1068" s="6" t="s">
        <v>22</v>
      </c>
      <c r="N1068">
        <v>355.09</v>
      </c>
    </row>
    <row r="1069" spans="1:14" x14ac:dyDescent="0.35">
      <c r="A1069" s="6" t="s">
        <v>3842</v>
      </c>
      <c r="B1069" s="7">
        <v>45083</v>
      </c>
      <c r="C1069" s="6" t="s">
        <v>3843</v>
      </c>
      <c r="D1069" s="6" t="s">
        <v>25</v>
      </c>
      <c r="E1069">
        <v>2</v>
      </c>
      <c r="F1069">
        <v>316.2</v>
      </c>
      <c r="G1069" s="6" t="s">
        <v>316</v>
      </c>
      <c r="H1069" s="6" t="s">
        <v>27</v>
      </c>
      <c r="I1069" s="6" t="s">
        <v>43</v>
      </c>
      <c r="J1069" s="6" t="s">
        <v>3844</v>
      </c>
      <c r="K1069">
        <v>2</v>
      </c>
      <c r="L1069" s="6" t="s">
        <v>4283</v>
      </c>
      <c r="M1069" s="6" t="s">
        <v>22</v>
      </c>
      <c r="N1069">
        <v>632.4</v>
      </c>
    </row>
    <row r="1070" spans="1:14" x14ac:dyDescent="0.35">
      <c r="A1070" s="6" t="s">
        <v>3845</v>
      </c>
      <c r="B1070" s="7">
        <v>45507</v>
      </c>
      <c r="C1070" s="6" t="s">
        <v>3846</v>
      </c>
      <c r="D1070" s="6" t="s">
        <v>58</v>
      </c>
      <c r="E1070">
        <v>1</v>
      </c>
      <c r="F1070">
        <v>133.38999999999999</v>
      </c>
      <c r="G1070" s="6" t="s">
        <v>3847</v>
      </c>
      <c r="H1070" s="6" t="s">
        <v>18</v>
      </c>
      <c r="I1070" s="6" t="s">
        <v>19</v>
      </c>
      <c r="J1070" s="6" t="s">
        <v>3848</v>
      </c>
      <c r="K1070">
        <v>2</v>
      </c>
      <c r="L1070" s="6" t="s">
        <v>21</v>
      </c>
      <c r="M1070" s="6" t="s">
        <v>29</v>
      </c>
      <c r="N1070">
        <v>133.38999999999999</v>
      </c>
    </row>
    <row r="1071" spans="1:14" x14ac:dyDescent="0.35">
      <c r="A1071" s="6" t="s">
        <v>3849</v>
      </c>
      <c r="B1071" s="7">
        <v>44982</v>
      </c>
      <c r="C1071" s="6" t="s">
        <v>3850</v>
      </c>
      <c r="D1071" s="6" t="s">
        <v>16</v>
      </c>
      <c r="E1071">
        <v>1</v>
      </c>
      <c r="F1071">
        <v>454.23</v>
      </c>
      <c r="G1071" s="6" t="s">
        <v>968</v>
      </c>
      <c r="H1071" s="6" t="s">
        <v>60</v>
      </c>
      <c r="I1071" s="6" t="s">
        <v>43</v>
      </c>
      <c r="J1071" s="6" t="s">
        <v>3851</v>
      </c>
      <c r="K1071">
        <v>3</v>
      </c>
      <c r="L1071" s="6" t="s">
        <v>4283</v>
      </c>
      <c r="M1071" s="6" t="s">
        <v>45</v>
      </c>
      <c r="N1071">
        <v>454.23</v>
      </c>
    </row>
    <row r="1072" spans="1:14" x14ac:dyDescent="0.35">
      <c r="A1072" s="6" t="s">
        <v>3852</v>
      </c>
      <c r="B1072" s="7">
        <v>45541</v>
      </c>
      <c r="C1072" s="6" t="s">
        <v>3853</v>
      </c>
      <c r="D1072" s="6" t="s">
        <v>73</v>
      </c>
      <c r="E1072">
        <v>4</v>
      </c>
      <c r="F1072">
        <v>491.29</v>
      </c>
      <c r="G1072" s="6" t="s">
        <v>359</v>
      </c>
      <c r="H1072" s="6" t="s">
        <v>18</v>
      </c>
      <c r="I1072" s="6" t="s">
        <v>89</v>
      </c>
      <c r="J1072" s="6" t="s">
        <v>3854</v>
      </c>
      <c r="K1072">
        <v>6</v>
      </c>
      <c r="L1072" s="6" t="s">
        <v>4283</v>
      </c>
      <c r="M1072" s="6" t="s">
        <v>38</v>
      </c>
      <c r="N1072">
        <v>1965.16</v>
      </c>
    </row>
    <row r="1073" spans="1:14" x14ac:dyDescent="0.35">
      <c r="A1073" s="6" t="s">
        <v>3855</v>
      </c>
      <c r="B1073" s="7">
        <v>45832</v>
      </c>
      <c r="C1073" s="6" t="s">
        <v>3856</v>
      </c>
      <c r="D1073" s="6" t="s">
        <v>25</v>
      </c>
      <c r="E1073">
        <v>2</v>
      </c>
      <c r="F1073">
        <v>255.14</v>
      </c>
      <c r="G1073" s="6" t="s">
        <v>1455</v>
      </c>
      <c r="H1073" s="6" t="s">
        <v>65</v>
      </c>
      <c r="I1073" s="6" t="s">
        <v>19</v>
      </c>
      <c r="J1073" s="6" t="s">
        <v>3857</v>
      </c>
      <c r="K1073">
        <v>2</v>
      </c>
      <c r="L1073" s="6" t="s">
        <v>4283</v>
      </c>
      <c r="M1073" s="6" t="s">
        <v>76</v>
      </c>
      <c r="N1073">
        <v>510.28</v>
      </c>
    </row>
    <row r="1074" spans="1:14" x14ac:dyDescent="0.35">
      <c r="A1074" s="6" t="s">
        <v>3858</v>
      </c>
      <c r="B1074" s="7">
        <v>44983</v>
      </c>
      <c r="C1074" s="6" t="s">
        <v>3859</v>
      </c>
      <c r="D1074" s="6" t="s">
        <v>16</v>
      </c>
      <c r="E1074">
        <v>1</v>
      </c>
      <c r="F1074">
        <v>392.61</v>
      </c>
      <c r="G1074" s="6" t="s">
        <v>1058</v>
      </c>
      <c r="H1074" s="6" t="s">
        <v>60</v>
      </c>
      <c r="I1074" s="6" t="s">
        <v>35</v>
      </c>
      <c r="J1074" s="6" t="s">
        <v>3860</v>
      </c>
      <c r="K1074">
        <v>4</v>
      </c>
      <c r="L1074" s="6" t="s">
        <v>21</v>
      </c>
      <c r="M1074" s="6" t="s">
        <v>29</v>
      </c>
      <c r="N1074">
        <v>392.61</v>
      </c>
    </row>
    <row r="1075" spans="1:14" x14ac:dyDescent="0.35">
      <c r="A1075" s="6" t="s">
        <v>3861</v>
      </c>
      <c r="B1075" s="7">
        <v>45576</v>
      </c>
      <c r="C1075" s="6" t="s">
        <v>3862</v>
      </c>
      <c r="D1075" s="6" t="s">
        <v>32</v>
      </c>
      <c r="E1075">
        <v>4</v>
      </c>
      <c r="F1075">
        <v>362.06</v>
      </c>
      <c r="G1075" s="6" t="s">
        <v>1036</v>
      </c>
      <c r="H1075" s="6" t="s">
        <v>18</v>
      </c>
      <c r="I1075" s="6" t="s">
        <v>43</v>
      </c>
      <c r="J1075" s="6" t="s">
        <v>3863</v>
      </c>
      <c r="K1075">
        <v>4</v>
      </c>
      <c r="L1075" s="6" t="s">
        <v>4283</v>
      </c>
      <c r="M1075" s="6" t="s">
        <v>45</v>
      </c>
      <c r="N1075">
        <v>1448.24</v>
      </c>
    </row>
    <row r="1076" spans="1:14" x14ac:dyDescent="0.35">
      <c r="A1076" s="6" t="s">
        <v>3864</v>
      </c>
      <c r="B1076" s="7">
        <v>45422</v>
      </c>
      <c r="C1076" s="6" t="s">
        <v>3865</v>
      </c>
      <c r="D1076" s="6" t="s">
        <v>25</v>
      </c>
      <c r="E1076">
        <v>1</v>
      </c>
      <c r="F1076">
        <v>222.73</v>
      </c>
      <c r="G1076" s="6" t="s">
        <v>3866</v>
      </c>
      <c r="H1076" s="6" t="s">
        <v>27</v>
      </c>
      <c r="I1076" s="6" t="s">
        <v>43</v>
      </c>
      <c r="J1076" s="6" t="s">
        <v>3867</v>
      </c>
      <c r="K1076">
        <v>4</v>
      </c>
      <c r="L1076" s="6" t="s">
        <v>4283</v>
      </c>
      <c r="M1076" s="6" t="s">
        <v>76</v>
      </c>
      <c r="N1076">
        <v>222.73</v>
      </c>
    </row>
    <row r="1077" spans="1:14" x14ac:dyDescent="0.35">
      <c r="A1077" s="6" t="s">
        <v>3868</v>
      </c>
      <c r="B1077" s="7">
        <v>45535</v>
      </c>
      <c r="C1077" s="6" t="s">
        <v>3869</v>
      </c>
      <c r="D1077" s="6" t="s">
        <v>16</v>
      </c>
      <c r="E1077">
        <v>2</v>
      </c>
      <c r="F1077">
        <v>552.63</v>
      </c>
      <c r="G1077" s="6" t="s">
        <v>837</v>
      </c>
      <c r="H1077" s="6" t="s">
        <v>18</v>
      </c>
      <c r="I1077" s="6" t="s">
        <v>50</v>
      </c>
      <c r="J1077" s="6" t="s">
        <v>3870</v>
      </c>
      <c r="K1077">
        <v>7</v>
      </c>
      <c r="L1077" s="6" t="s">
        <v>81</v>
      </c>
      <c r="M1077" s="6" t="s">
        <v>22</v>
      </c>
      <c r="N1077">
        <v>1105.26</v>
      </c>
    </row>
    <row r="1078" spans="1:14" x14ac:dyDescent="0.35">
      <c r="A1078" s="6" t="s">
        <v>3871</v>
      </c>
      <c r="B1078" s="7">
        <v>45054</v>
      </c>
      <c r="C1078" s="6" t="s">
        <v>3872</v>
      </c>
      <c r="D1078" s="6" t="s">
        <v>58</v>
      </c>
      <c r="E1078">
        <v>4</v>
      </c>
      <c r="F1078">
        <v>686.61</v>
      </c>
      <c r="G1078" s="6" t="s">
        <v>3718</v>
      </c>
      <c r="H1078" s="6" t="s">
        <v>65</v>
      </c>
      <c r="I1078" s="6" t="s">
        <v>19</v>
      </c>
      <c r="J1078" s="6" t="s">
        <v>3873</v>
      </c>
      <c r="K1078">
        <v>6</v>
      </c>
      <c r="L1078" s="6" t="s">
        <v>4283</v>
      </c>
      <c r="M1078" s="6" t="s">
        <v>29</v>
      </c>
      <c r="N1078">
        <v>2746.44</v>
      </c>
    </row>
    <row r="1079" spans="1:14" x14ac:dyDescent="0.35">
      <c r="A1079" s="6" t="s">
        <v>3874</v>
      </c>
      <c r="B1079" s="7">
        <v>45723</v>
      </c>
      <c r="C1079" s="6" t="s">
        <v>3875</v>
      </c>
      <c r="D1079" s="6" t="s">
        <v>48</v>
      </c>
      <c r="E1079">
        <v>3</v>
      </c>
      <c r="F1079">
        <v>305.16000000000003</v>
      </c>
      <c r="G1079" s="6" t="s">
        <v>490</v>
      </c>
      <c r="H1079" s="6" t="s">
        <v>34</v>
      </c>
      <c r="I1079" s="6" t="s">
        <v>35</v>
      </c>
      <c r="J1079" s="6" t="s">
        <v>3876</v>
      </c>
      <c r="K1079">
        <v>8</v>
      </c>
      <c r="L1079" s="6" t="s">
        <v>21</v>
      </c>
      <c r="M1079" s="6" t="s">
        <v>29</v>
      </c>
      <c r="N1079">
        <v>915.48</v>
      </c>
    </row>
    <row r="1080" spans="1:14" x14ac:dyDescent="0.35">
      <c r="A1080" s="6" t="s">
        <v>3877</v>
      </c>
      <c r="B1080" s="7">
        <v>45003</v>
      </c>
      <c r="C1080" s="6" t="s">
        <v>3878</v>
      </c>
      <c r="D1080" s="6" t="s">
        <v>73</v>
      </c>
      <c r="E1080">
        <v>1</v>
      </c>
      <c r="F1080">
        <v>41.09</v>
      </c>
      <c r="G1080" s="6" t="s">
        <v>149</v>
      </c>
      <c r="H1080" s="6" t="s">
        <v>27</v>
      </c>
      <c r="I1080" s="6" t="s">
        <v>43</v>
      </c>
      <c r="J1080" s="6" t="s">
        <v>3879</v>
      </c>
      <c r="K1080">
        <v>4</v>
      </c>
      <c r="L1080" s="6" t="s">
        <v>81</v>
      </c>
      <c r="M1080" s="6" t="s">
        <v>38</v>
      </c>
      <c r="N1080">
        <v>41.09</v>
      </c>
    </row>
    <row r="1081" spans="1:14" x14ac:dyDescent="0.35">
      <c r="A1081" s="6" t="s">
        <v>3880</v>
      </c>
      <c r="B1081" s="7">
        <v>45463</v>
      </c>
      <c r="C1081" s="6" t="s">
        <v>3881</v>
      </c>
      <c r="D1081" s="6" t="s">
        <v>25</v>
      </c>
      <c r="E1081">
        <v>5</v>
      </c>
      <c r="F1081">
        <v>634</v>
      </c>
      <c r="G1081" s="6" t="s">
        <v>3370</v>
      </c>
      <c r="H1081" s="6" t="s">
        <v>60</v>
      </c>
      <c r="I1081" s="6" t="s">
        <v>50</v>
      </c>
      <c r="J1081" s="6" t="s">
        <v>3882</v>
      </c>
      <c r="K1081">
        <v>8</v>
      </c>
      <c r="L1081" s="6" t="s">
        <v>4283</v>
      </c>
      <c r="M1081" s="6" t="s">
        <v>38</v>
      </c>
      <c r="N1081">
        <v>3170</v>
      </c>
    </row>
    <row r="1082" spans="1:14" x14ac:dyDescent="0.35">
      <c r="A1082" s="6" t="s">
        <v>3883</v>
      </c>
      <c r="B1082" s="7">
        <v>44946</v>
      </c>
      <c r="C1082" s="6" t="s">
        <v>3884</v>
      </c>
      <c r="D1082" s="6" t="s">
        <v>58</v>
      </c>
      <c r="E1082">
        <v>5</v>
      </c>
      <c r="F1082">
        <v>464.74</v>
      </c>
      <c r="G1082" s="6" t="s">
        <v>3885</v>
      </c>
      <c r="H1082" s="6" t="s">
        <v>60</v>
      </c>
      <c r="I1082" s="6" t="s">
        <v>50</v>
      </c>
      <c r="J1082" s="6" t="s">
        <v>3886</v>
      </c>
      <c r="K1082">
        <v>7</v>
      </c>
      <c r="L1082" s="6" t="s">
        <v>4283</v>
      </c>
      <c r="M1082" s="6" t="s">
        <v>29</v>
      </c>
      <c r="N1082">
        <v>2323.6999999999998</v>
      </c>
    </row>
    <row r="1083" spans="1:14" x14ac:dyDescent="0.35">
      <c r="A1083" s="6" t="s">
        <v>3887</v>
      </c>
      <c r="B1083" s="7">
        <v>45037</v>
      </c>
      <c r="C1083" s="6" t="s">
        <v>3888</v>
      </c>
      <c r="D1083" s="6" t="s">
        <v>16</v>
      </c>
      <c r="E1083">
        <v>4</v>
      </c>
      <c r="F1083">
        <v>425.6</v>
      </c>
      <c r="G1083" s="6" t="s">
        <v>1388</v>
      </c>
      <c r="H1083" s="6" t="s">
        <v>34</v>
      </c>
      <c r="I1083" s="6" t="s">
        <v>89</v>
      </c>
      <c r="J1083" s="6" t="s">
        <v>3889</v>
      </c>
      <c r="K1083">
        <v>5</v>
      </c>
      <c r="L1083" s="6" t="s">
        <v>37</v>
      </c>
      <c r="M1083" s="6" t="s">
        <v>76</v>
      </c>
      <c r="N1083">
        <v>1702.4</v>
      </c>
    </row>
    <row r="1084" spans="1:14" x14ac:dyDescent="0.35">
      <c r="A1084" s="6" t="s">
        <v>3890</v>
      </c>
      <c r="B1084" s="7">
        <v>45205</v>
      </c>
      <c r="C1084" s="6" t="s">
        <v>3891</v>
      </c>
      <c r="D1084" s="6" t="s">
        <v>41</v>
      </c>
      <c r="E1084">
        <v>3</v>
      </c>
      <c r="F1084">
        <v>573.22</v>
      </c>
      <c r="G1084" s="6" t="s">
        <v>3751</v>
      </c>
      <c r="H1084" s="6" t="s">
        <v>18</v>
      </c>
      <c r="I1084" s="6" t="s">
        <v>89</v>
      </c>
      <c r="J1084" s="6" t="s">
        <v>3892</v>
      </c>
      <c r="K1084">
        <v>5</v>
      </c>
      <c r="L1084" s="6" t="s">
        <v>21</v>
      </c>
      <c r="M1084" s="6" t="s">
        <v>38</v>
      </c>
      <c r="N1084">
        <v>1719.66</v>
      </c>
    </row>
    <row r="1085" spans="1:14" x14ac:dyDescent="0.35">
      <c r="A1085" s="6" t="s">
        <v>3893</v>
      </c>
      <c r="B1085" s="7">
        <v>45482</v>
      </c>
      <c r="C1085" s="6" t="s">
        <v>3894</v>
      </c>
      <c r="D1085" s="6" t="s">
        <v>41</v>
      </c>
      <c r="E1085">
        <v>1</v>
      </c>
      <c r="F1085">
        <v>123.28</v>
      </c>
      <c r="G1085" s="6" t="s">
        <v>161</v>
      </c>
      <c r="H1085" s="6" t="s">
        <v>34</v>
      </c>
      <c r="I1085" s="6" t="s">
        <v>50</v>
      </c>
      <c r="J1085" s="6" t="s">
        <v>3895</v>
      </c>
      <c r="K1085">
        <v>3</v>
      </c>
      <c r="L1085" s="6" t="s">
        <v>21</v>
      </c>
      <c r="M1085" s="6" t="s">
        <v>38</v>
      </c>
      <c r="N1085">
        <v>123.28</v>
      </c>
    </row>
    <row r="1086" spans="1:14" x14ac:dyDescent="0.35">
      <c r="A1086" s="6" t="s">
        <v>3896</v>
      </c>
      <c r="B1086" s="7">
        <v>44934</v>
      </c>
      <c r="C1086" s="6" t="s">
        <v>3897</v>
      </c>
      <c r="D1086" s="6" t="s">
        <v>25</v>
      </c>
      <c r="E1086">
        <v>1</v>
      </c>
      <c r="F1086">
        <v>70.819999999999993</v>
      </c>
      <c r="G1086" s="6" t="s">
        <v>181</v>
      </c>
      <c r="H1086" s="6" t="s">
        <v>60</v>
      </c>
      <c r="I1086" s="6" t="s">
        <v>89</v>
      </c>
      <c r="J1086" s="6" t="s">
        <v>3898</v>
      </c>
      <c r="K1086">
        <v>1</v>
      </c>
      <c r="L1086" s="6" t="s">
        <v>81</v>
      </c>
      <c r="M1086" s="6" t="s">
        <v>22</v>
      </c>
      <c r="N1086">
        <v>70.819999999999993</v>
      </c>
    </row>
    <row r="1087" spans="1:14" x14ac:dyDescent="0.35">
      <c r="A1087" s="6" t="s">
        <v>3899</v>
      </c>
      <c r="B1087" s="7">
        <v>45067</v>
      </c>
      <c r="C1087" s="6" t="s">
        <v>3900</v>
      </c>
      <c r="D1087" s="6" t="s">
        <v>48</v>
      </c>
      <c r="E1087">
        <v>2</v>
      </c>
      <c r="F1087">
        <v>646.69000000000005</v>
      </c>
      <c r="G1087" s="6" t="s">
        <v>614</v>
      </c>
      <c r="H1087" s="6" t="s">
        <v>18</v>
      </c>
      <c r="I1087" s="6" t="s">
        <v>19</v>
      </c>
      <c r="J1087" s="6" t="s">
        <v>3901</v>
      </c>
      <c r="K1087">
        <v>7</v>
      </c>
      <c r="L1087" s="6" t="s">
        <v>81</v>
      </c>
      <c r="M1087" s="6" t="s">
        <v>22</v>
      </c>
      <c r="N1087">
        <v>1293.3800000000001</v>
      </c>
    </row>
    <row r="1088" spans="1:14" x14ac:dyDescent="0.35">
      <c r="A1088" s="6" t="s">
        <v>3902</v>
      </c>
      <c r="B1088" s="7">
        <v>45283</v>
      </c>
      <c r="C1088" s="6" t="s">
        <v>3903</v>
      </c>
      <c r="D1088" s="6" t="s">
        <v>32</v>
      </c>
      <c r="E1088">
        <v>2</v>
      </c>
      <c r="F1088">
        <v>513.41999999999996</v>
      </c>
      <c r="G1088" s="6" t="s">
        <v>3904</v>
      </c>
      <c r="H1088" s="6" t="s">
        <v>27</v>
      </c>
      <c r="I1088" s="6" t="s">
        <v>89</v>
      </c>
      <c r="J1088" s="6" t="s">
        <v>3905</v>
      </c>
      <c r="K1088">
        <v>5</v>
      </c>
      <c r="L1088" s="6" t="s">
        <v>81</v>
      </c>
      <c r="M1088" s="6" t="s">
        <v>22</v>
      </c>
      <c r="N1088">
        <v>1026.8399999999999</v>
      </c>
    </row>
    <row r="1089" spans="1:14" x14ac:dyDescent="0.35">
      <c r="A1089" s="6" t="s">
        <v>3906</v>
      </c>
      <c r="B1089" s="7">
        <v>45739</v>
      </c>
      <c r="C1089" s="6" t="s">
        <v>3907</v>
      </c>
      <c r="D1089" s="6" t="s">
        <v>58</v>
      </c>
      <c r="E1089">
        <v>4</v>
      </c>
      <c r="F1089">
        <v>693.07</v>
      </c>
      <c r="G1089" s="6" t="s">
        <v>3908</v>
      </c>
      <c r="H1089" s="6" t="s">
        <v>27</v>
      </c>
      <c r="I1089" s="6" t="s">
        <v>19</v>
      </c>
      <c r="J1089" s="6" t="s">
        <v>3909</v>
      </c>
      <c r="K1089">
        <v>8</v>
      </c>
      <c r="L1089" s="6" t="s">
        <v>21</v>
      </c>
      <c r="M1089" s="6" t="s">
        <v>22</v>
      </c>
      <c r="N1089">
        <v>2772.28</v>
      </c>
    </row>
    <row r="1090" spans="1:14" x14ac:dyDescent="0.35">
      <c r="A1090" s="6" t="s">
        <v>3910</v>
      </c>
      <c r="B1090" s="7">
        <v>45260</v>
      </c>
      <c r="C1090" s="6" t="s">
        <v>3911</v>
      </c>
      <c r="D1090" s="6" t="s">
        <v>73</v>
      </c>
      <c r="E1090">
        <v>3</v>
      </c>
      <c r="F1090">
        <v>491.43</v>
      </c>
      <c r="G1090" s="6" t="s">
        <v>3912</v>
      </c>
      <c r="H1090" s="6" t="s">
        <v>60</v>
      </c>
      <c r="I1090" s="6" t="s">
        <v>19</v>
      </c>
      <c r="J1090" s="6" t="s">
        <v>3913</v>
      </c>
      <c r="K1090">
        <v>6</v>
      </c>
      <c r="L1090" s="6" t="s">
        <v>81</v>
      </c>
      <c r="M1090" s="6" t="s">
        <v>22</v>
      </c>
      <c r="N1090">
        <v>1474.29</v>
      </c>
    </row>
    <row r="1091" spans="1:14" x14ac:dyDescent="0.35">
      <c r="A1091" s="6" t="s">
        <v>3914</v>
      </c>
      <c r="B1091" s="7">
        <v>45731</v>
      </c>
      <c r="C1091" s="6" t="s">
        <v>3915</v>
      </c>
      <c r="D1091" s="6" t="s">
        <v>32</v>
      </c>
      <c r="E1091">
        <v>2</v>
      </c>
      <c r="F1091">
        <v>599.74</v>
      </c>
      <c r="G1091" s="6" t="s">
        <v>305</v>
      </c>
      <c r="H1091" s="6" t="s">
        <v>60</v>
      </c>
      <c r="I1091" s="6" t="s">
        <v>19</v>
      </c>
      <c r="J1091" s="6" t="s">
        <v>3916</v>
      </c>
      <c r="K1091">
        <v>2</v>
      </c>
      <c r="L1091" s="6" t="s">
        <v>4283</v>
      </c>
      <c r="M1091" s="6" t="s">
        <v>22</v>
      </c>
      <c r="N1091">
        <v>1199.48</v>
      </c>
    </row>
    <row r="1092" spans="1:14" x14ac:dyDescent="0.35">
      <c r="A1092" s="6" t="s">
        <v>3917</v>
      </c>
      <c r="B1092" s="7">
        <v>44982</v>
      </c>
      <c r="C1092" s="6" t="s">
        <v>3918</v>
      </c>
      <c r="D1092" s="6" t="s">
        <v>16</v>
      </c>
      <c r="E1092">
        <v>2</v>
      </c>
      <c r="F1092">
        <v>650.25</v>
      </c>
      <c r="G1092" s="6" t="s">
        <v>165</v>
      </c>
      <c r="H1092" s="6" t="s">
        <v>60</v>
      </c>
      <c r="I1092" s="6" t="s">
        <v>43</v>
      </c>
      <c r="J1092" s="6" t="s">
        <v>3919</v>
      </c>
      <c r="K1092">
        <v>6</v>
      </c>
      <c r="L1092" s="6" t="s">
        <v>4283</v>
      </c>
      <c r="M1092" s="6" t="s">
        <v>22</v>
      </c>
      <c r="N1092">
        <v>1300.5</v>
      </c>
    </row>
    <row r="1093" spans="1:14" x14ac:dyDescent="0.35">
      <c r="A1093" s="6" t="s">
        <v>3920</v>
      </c>
      <c r="B1093" s="7">
        <v>45573</v>
      </c>
      <c r="C1093" s="6" t="s">
        <v>3921</v>
      </c>
      <c r="D1093" s="6" t="s">
        <v>58</v>
      </c>
      <c r="E1093">
        <v>3</v>
      </c>
      <c r="F1093">
        <v>209.48</v>
      </c>
      <c r="G1093" s="6" t="s">
        <v>1609</v>
      </c>
      <c r="H1093" s="6" t="s">
        <v>18</v>
      </c>
      <c r="I1093" s="6" t="s">
        <v>89</v>
      </c>
      <c r="J1093" s="6" t="s">
        <v>3922</v>
      </c>
      <c r="K1093">
        <v>4</v>
      </c>
      <c r="L1093" s="6" t="s">
        <v>4283</v>
      </c>
      <c r="M1093" s="6" t="s">
        <v>38</v>
      </c>
      <c r="N1093">
        <v>628.44000000000005</v>
      </c>
    </row>
    <row r="1094" spans="1:14" x14ac:dyDescent="0.35">
      <c r="A1094" s="6" t="s">
        <v>3923</v>
      </c>
      <c r="B1094" s="7">
        <v>45159</v>
      </c>
      <c r="C1094" s="6" t="s">
        <v>3924</v>
      </c>
      <c r="D1094" s="6" t="s">
        <v>58</v>
      </c>
      <c r="E1094">
        <v>5</v>
      </c>
      <c r="F1094">
        <v>209.2</v>
      </c>
      <c r="G1094" s="6" t="s">
        <v>157</v>
      </c>
      <c r="H1094" s="6" t="s">
        <v>18</v>
      </c>
      <c r="I1094" s="6" t="s">
        <v>50</v>
      </c>
      <c r="J1094" s="6" t="s">
        <v>3925</v>
      </c>
      <c r="K1094">
        <v>6</v>
      </c>
      <c r="L1094" s="6" t="s">
        <v>81</v>
      </c>
      <c r="M1094" s="6" t="s">
        <v>38</v>
      </c>
      <c r="N1094">
        <v>1046</v>
      </c>
    </row>
    <row r="1095" spans="1:14" x14ac:dyDescent="0.35">
      <c r="A1095" s="6" t="s">
        <v>3926</v>
      </c>
      <c r="B1095" s="7">
        <v>45086</v>
      </c>
      <c r="C1095" s="6" t="s">
        <v>3927</v>
      </c>
      <c r="D1095" s="6" t="s">
        <v>25</v>
      </c>
      <c r="E1095">
        <v>4</v>
      </c>
      <c r="F1095">
        <v>197.36</v>
      </c>
      <c r="G1095" s="6" t="s">
        <v>3928</v>
      </c>
      <c r="H1095" s="6" t="s">
        <v>60</v>
      </c>
      <c r="I1095" s="6" t="s">
        <v>43</v>
      </c>
      <c r="J1095" s="6" t="s">
        <v>3929</v>
      </c>
      <c r="K1095">
        <v>9</v>
      </c>
      <c r="L1095" s="6" t="s">
        <v>37</v>
      </c>
      <c r="M1095" s="6" t="s">
        <v>22</v>
      </c>
      <c r="N1095">
        <v>789.44</v>
      </c>
    </row>
    <row r="1096" spans="1:14" x14ac:dyDescent="0.35">
      <c r="A1096" s="6" t="s">
        <v>3930</v>
      </c>
      <c r="B1096" s="7">
        <v>45105</v>
      </c>
      <c r="C1096" s="6" t="s">
        <v>3931</v>
      </c>
      <c r="D1096" s="6" t="s">
        <v>48</v>
      </c>
      <c r="E1096">
        <v>4</v>
      </c>
      <c r="F1096">
        <v>648.91</v>
      </c>
      <c r="G1096" s="6" t="s">
        <v>3932</v>
      </c>
      <c r="H1096" s="6" t="s">
        <v>34</v>
      </c>
      <c r="I1096" s="6" t="s">
        <v>19</v>
      </c>
      <c r="J1096" s="6" t="s">
        <v>3933</v>
      </c>
      <c r="K1096">
        <v>6</v>
      </c>
      <c r="L1096" s="6" t="s">
        <v>21</v>
      </c>
      <c r="M1096" s="6" t="s">
        <v>22</v>
      </c>
      <c r="N1096">
        <v>2595.64</v>
      </c>
    </row>
    <row r="1097" spans="1:14" x14ac:dyDescent="0.35">
      <c r="A1097" s="6" t="s">
        <v>3934</v>
      </c>
      <c r="B1097" s="7">
        <v>45405</v>
      </c>
      <c r="C1097" s="6" t="s">
        <v>3935</v>
      </c>
      <c r="D1097" s="6" t="s">
        <v>25</v>
      </c>
      <c r="E1097">
        <v>2</v>
      </c>
      <c r="F1097">
        <v>441.54</v>
      </c>
      <c r="G1097" s="6" t="s">
        <v>3936</v>
      </c>
      <c r="H1097" s="6" t="s">
        <v>27</v>
      </c>
      <c r="I1097" s="6" t="s">
        <v>50</v>
      </c>
      <c r="J1097" s="6" t="s">
        <v>3937</v>
      </c>
      <c r="K1097">
        <v>2</v>
      </c>
      <c r="L1097" s="6" t="s">
        <v>21</v>
      </c>
      <c r="M1097" s="6" t="s">
        <v>38</v>
      </c>
      <c r="N1097">
        <v>883.08</v>
      </c>
    </row>
    <row r="1098" spans="1:14" x14ac:dyDescent="0.35">
      <c r="A1098" s="6" t="s">
        <v>3938</v>
      </c>
      <c r="B1098" s="7">
        <v>45780</v>
      </c>
      <c r="C1098" s="6" t="s">
        <v>3939</v>
      </c>
      <c r="D1098" s="6" t="s">
        <v>32</v>
      </c>
      <c r="E1098">
        <v>2</v>
      </c>
      <c r="F1098">
        <v>464.92</v>
      </c>
      <c r="G1098" s="6" t="s">
        <v>3940</v>
      </c>
      <c r="H1098" s="6" t="s">
        <v>18</v>
      </c>
      <c r="I1098" s="6" t="s">
        <v>43</v>
      </c>
      <c r="J1098" s="6" t="s">
        <v>3941</v>
      </c>
      <c r="K1098">
        <v>2</v>
      </c>
      <c r="L1098" s="6" t="s">
        <v>4283</v>
      </c>
      <c r="M1098" s="6" t="s">
        <v>45</v>
      </c>
      <c r="N1098">
        <v>929.84</v>
      </c>
    </row>
    <row r="1099" spans="1:14" x14ac:dyDescent="0.35">
      <c r="A1099" s="6" t="s">
        <v>3942</v>
      </c>
      <c r="B1099" s="7">
        <v>45652</v>
      </c>
      <c r="C1099" s="6" t="s">
        <v>3943</v>
      </c>
      <c r="D1099" s="6" t="s">
        <v>16</v>
      </c>
      <c r="E1099">
        <v>5</v>
      </c>
      <c r="F1099">
        <v>506.45</v>
      </c>
      <c r="G1099" s="6" t="s">
        <v>3944</v>
      </c>
      <c r="H1099" s="6" t="s">
        <v>60</v>
      </c>
      <c r="I1099" s="6" t="s">
        <v>19</v>
      </c>
      <c r="J1099" s="6" t="s">
        <v>3945</v>
      </c>
      <c r="K1099">
        <v>7</v>
      </c>
      <c r="L1099" s="6" t="s">
        <v>81</v>
      </c>
      <c r="M1099" s="6" t="s">
        <v>76</v>
      </c>
      <c r="N1099">
        <v>2532.25</v>
      </c>
    </row>
    <row r="1100" spans="1:14" x14ac:dyDescent="0.35">
      <c r="A1100" s="6" t="s">
        <v>3946</v>
      </c>
      <c r="B1100" s="7">
        <v>45094</v>
      </c>
      <c r="C1100" s="6" t="s">
        <v>3947</v>
      </c>
      <c r="D1100" s="6" t="s">
        <v>16</v>
      </c>
      <c r="E1100">
        <v>4</v>
      </c>
      <c r="F1100">
        <v>255.86</v>
      </c>
      <c r="G1100" s="6" t="s">
        <v>3948</v>
      </c>
      <c r="H1100" s="6" t="s">
        <v>34</v>
      </c>
      <c r="I1100" s="6" t="s">
        <v>50</v>
      </c>
      <c r="J1100" s="6" t="s">
        <v>3949</v>
      </c>
      <c r="K1100">
        <v>7</v>
      </c>
      <c r="L1100" s="6" t="s">
        <v>4283</v>
      </c>
      <c r="M1100" s="6" t="s">
        <v>38</v>
      </c>
      <c r="N1100">
        <v>1023.44</v>
      </c>
    </row>
    <row r="1101" spans="1:14" x14ac:dyDescent="0.35">
      <c r="A1101" s="6" t="s">
        <v>3950</v>
      </c>
      <c r="B1101" s="7">
        <v>45554</v>
      </c>
      <c r="C1101" s="6" t="s">
        <v>3951</v>
      </c>
      <c r="D1101" s="6" t="s">
        <v>58</v>
      </c>
      <c r="E1101">
        <v>2</v>
      </c>
      <c r="F1101">
        <v>125.23</v>
      </c>
      <c r="G1101" s="6" t="s">
        <v>1501</v>
      </c>
      <c r="H1101" s="6" t="s">
        <v>65</v>
      </c>
      <c r="I1101" s="6" t="s">
        <v>35</v>
      </c>
      <c r="J1101" s="6" t="s">
        <v>3952</v>
      </c>
      <c r="K1101">
        <v>3</v>
      </c>
      <c r="L1101" s="6" t="s">
        <v>37</v>
      </c>
      <c r="M1101" s="6" t="s">
        <v>38</v>
      </c>
      <c r="N1101">
        <v>250.46</v>
      </c>
    </row>
    <row r="1102" spans="1:14" x14ac:dyDescent="0.35">
      <c r="A1102" s="6" t="s">
        <v>3953</v>
      </c>
      <c r="B1102" s="7">
        <v>45155</v>
      </c>
      <c r="C1102" s="6" t="s">
        <v>3954</v>
      </c>
      <c r="D1102" s="6" t="s">
        <v>58</v>
      </c>
      <c r="E1102">
        <v>5</v>
      </c>
      <c r="F1102">
        <v>38.11</v>
      </c>
      <c r="G1102" s="6" t="s">
        <v>3955</v>
      </c>
      <c r="H1102" s="6" t="s">
        <v>18</v>
      </c>
      <c r="I1102" s="6" t="s">
        <v>35</v>
      </c>
      <c r="J1102" s="6" t="s">
        <v>3956</v>
      </c>
      <c r="K1102">
        <v>6</v>
      </c>
      <c r="L1102" s="6" t="s">
        <v>81</v>
      </c>
      <c r="M1102" s="6" t="s">
        <v>22</v>
      </c>
      <c r="N1102">
        <v>190.55</v>
      </c>
    </row>
    <row r="1103" spans="1:14" x14ac:dyDescent="0.35">
      <c r="A1103" s="6" t="s">
        <v>3957</v>
      </c>
      <c r="B1103" s="7">
        <v>45816</v>
      </c>
      <c r="C1103" s="6" t="s">
        <v>3958</v>
      </c>
      <c r="D1103" s="6" t="s">
        <v>16</v>
      </c>
      <c r="E1103">
        <v>3</v>
      </c>
      <c r="F1103">
        <v>161.97</v>
      </c>
      <c r="G1103" s="6" t="s">
        <v>69</v>
      </c>
      <c r="H1103" s="6" t="s">
        <v>65</v>
      </c>
      <c r="I1103" s="6" t="s">
        <v>89</v>
      </c>
      <c r="J1103" s="6" t="s">
        <v>3959</v>
      </c>
      <c r="K1103">
        <v>4</v>
      </c>
      <c r="L1103" s="6" t="s">
        <v>21</v>
      </c>
      <c r="M1103" s="6" t="s">
        <v>38</v>
      </c>
      <c r="N1103">
        <v>485.91</v>
      </c>
    </row>
    <row r="1104" spans="1:14" x14ac:dyDescent="0.35">
      <c r="A1104" s="6" t="s">
        <v>3960</v>
      </c>
      <c r="B1104" s="7">
        <v>45446</v>
      </c>
      <c r="C1104" s="6" t="s">
        <v>96</v>
      </c>
      <c r="D1104" s="6" t="s">
        <v>41</v>
      </c>
      <c r="E1104">
        <v>4</v>
      </c>
      <c r="F1104">
        <v>347.17</v>
      </c>
      <c r="G1104" s="6" t="s">
        <v>2779</v>
      </c>
      <c r="H1104" s="6" t="s">
        <v>18</v>
      </c>
      <c r="I1104" s="6" t="s">
        <v>19</v>
      </c>
      <c r="J1104" s="6" t="s">
        <v>3961</v>
      </c>
      <c r="K1104">
        <v>8</v>
      </c>
      <c r="L1104" s="6" t="s">
        <v>4283</v>
      </c>
      <c r="M1104" s="6" t="s">
        <v>22</v>
      </c>
      <c r="N1104">
        <v>1388.68</v>
      </c>
    </row>
    <row r="1105" spans="1:14" x14ac:dyDescent="0.35">
      <c r="A1105" s="6" t="s">
        <v>3962</v>
      </c>
      <c r="B1105" s="7">
        <v>45040</v>
      </c>
      <c r="C1105" s="6" t="s">
        <v>3963</v>
      </c>
      <c r="D1105" s="6" t="s">
        <v>58</v>
      </c>
      <c r="E1105">
        <v>4</v>
      </c>
      <c r="F1105">
        <v>276.32</v>
      </c>
      <c r="G1105" s="6" t="s">
        <v>327</v>
      </c>
      <c r="H1105" s="6" t="s">
        <v>27</v>
      </c>
      <c r="I1105" s="6" t="s">
        <v>50</v>
      </c>
      <c r="J1105" s="6" t="s">
        <v>3964</v>
      </c>
      <c r="K1105">
        <v>5</v>
      </c>
      <c r="L1105" s="6" t="s">
        <v>4283</v>
      </c>
      <c r="M1105" s="6" t="s">
        <v>76</v>
      </c>
      <c r="N1105">
        <v>1105.28</v>
      </c>
    </row>
    <row r="1106" spans="1:14" x14ac:dyDescent="0.35">
      <c r="A1106" s="6" t="s">
        <v>3965</v>
      </c>
      <c r="B1106" s="7">
        <v>45498</v>
      </c>
      <c r="C1106" s="6" t="s">
        <v>3966</v>
      </c>
      <c r="D1106" s="6" t="s">
        <v>32</v>
      </c>
      <c r="E1106">
        <v>4</v>
      </c>
      <c r="F1106">
        <v>314.76</v>
      </c>
      <c r="G1106" s="6" t="s">
        <v>3967</v>
      </c>
      <c r="H1106" s="6" t="s">
        <v>27</v>
      </c>
      <c r="I1106" s="6" t="s">
        <v>19</v>
      </c>
      <c r="J1106" s="6" t="s">
        <v>3968</v>
      </c>
      <c r="K1106">
        <v>8</v>
      </c>
      <c r="L1106" s="6" t="s">
        <v>4283</v>
      </c>
      <c r="M1106" s="6" t="s">
        <v>22</v>
      </c>
      <c r="N1106">
        <v>1259.04</v>
      </c>
    </row>
    <row r="1107" spans="1:14" x14ac:dyDescent="0.35">
      <c r="A1107" s="6" t="s">
        <v>3969</v>
      </c>
      <c r="B1107" s="7">
        <v>45299</v>
      </c>
      <c r="C1107" s="6" t="s">
        <v>3970</v>
      </c>
      <c r="D1107" s="6" t="s">
        <v>32</v>
      </c>
      <c r="E1107">
        <v>3</v>
      </c>
      <c r="F1107">
        <v>475.69</v>
      </c>
      <c r="G1107" s="6" t="s">
        <v>1097</v>
      </c>
      <c r="H1107" s="6" t="s">
        <v>60</v>
      </c>
      <c r="I1107" s="6" t="s">
        <v>35</v>
      </c>
      <c r="J1107" s="6" t="s">
        <v>3971</v>
      </c>
      <c r="K1107">
        <v>3</v>
      </c>
      <c r="L1107" s="6" t="s">
        <v>37</v>
      </c>
      <c r="M1107" s="6" t="s">
        <v>76</v>
      </c>
      <c r="N1107">
        <v>1427.07</v>
      </c>
    </row>
    <row r="1108" spans="1:14" x14ac:dyDescent="0.35">
      <c r="A1108" s="6" t="s">
        <v>3972</v>
      </c>
      <c r="B1108" s="7">
        <v>44997</v>
      </c>
      <c r="C1108" s="6" t="s">
        <v>3973</v>
      </c>
      <c r="D1108" s="6" t="s">
        <v>41</v>
      </c>
      <c r="E1108">
        <v>1</v>
      </c>
      <c r="F1108">
        <v>372.8</v>
      </c>
      <c r="G1108" s="6" t="s">
        <v>93</v>
      </c>
      <c r="H1108" s="6" t="s">
        <v>65</v>
      </c>
      <c r="I1108" s="6" t="s">
        <v>35</v>
      </c>
      <c r="J1108" s="6" t="s">
        <v>3974</v>
      </c>
      <c r="K1108">
        <v>6</v>
      </c>
      <c r="L1108" s="6" t="s">
        <v>21</v>
      </c>
      <c r="M1108" s="6" t="s">
        <v>45</v>
      </c>
      <c r="N1108">
        <v>372.8</v>
      </c>
    </row>
    <row r="1109" spans="1:14" x14ac:dyDescent="0.35">
      <c r="A1109" s="6" t="s">
        <v>3975</v>
      </c>
      <c r="B1109" s="7">
        <v>45838</v>
      </c>
      <c r="C1109" s="6" t="s">
        <v>3976</v>
      </c>
      <c r="D1109" s="6" t="s">
        <v>32</v>
      </c>
      <c r="E1109">
        <v>2</v>
      </c>
      <c r="F1109">
        <v>63.21</v>
      </c>
      <c r="G1109" s="6" t="s">
        <v>2290</v>
      </c>
      <c r="H1109" s="6" t="s">
        <v>27</v>
      </c>
      <c r="I1109" s="6" t="s">
        <v>35</v>
      </c>
      <c r="J1109" s="6" t="s">
        <v>3977</v>
      </c>
      <c r="K1109">
        <v>4</v>
      </c>
      <c r="L1109" s="6" t="s">
        <v>21</v>
      </c>
      <c r="M1109" s="6" t="s">
        <v>76</v>
      </c>
      <c r="N1109">
        <v>126.42</v>
      </c>
    </row>
    <row r="1110" spans="1:14" x14ac:dyDescent="0.35">
      <c r="A1110" s="6" t="s">
        <v>3978</v>
      </c>
      <c r="B1110" s="7">
        <v>45005</v>
      </c>
      <c r="C1110" s="6" t="s">
        <v>3979</v>
      </c>
      <c r="D1110" s="6" t="s">
        <v>58</v>
      </c>
      <c r="E1110">
        <v>1</v>
      </c>
      <c r="F1110">
        <v>634.94000000000005</v>
      </c>
      <c r="G1110" s="6" t="s">
        <v>3980</v>
      </c>
      <c r="H1110" s="6" t="s">
        <v>27</v>
      </c>
      <c r="I1110" s="6" t="s">
        <v>35</v>
      </c>
      <c r="J1110" s="6" t="s">
        <v>3981</v>
      </c>
      <c r="K1110">
        <v>5</v>
      </c>
      <c r="L1110" s="6" t="s">
        <v>81</v>
      </c>
      <c r="M1110" s="6" t="s">
        <v>22</v>
      </c>
      <c r="N1110">
        <v>634.94000000000005</v>
      </c>
    </row>
    <row r="1111" spans="1:14" x14ac:dyDescent="0.35">
      <c r="A1111" s="6" t="s">
        <v>3982</v>
      </c>
      <c r="B1111" s="7">
        <v>45390</v>
      </c>
      <c r="C1111" s="6" t="s">
        <v>3983</v>
      </c>
      <c r="D1111" s="6" t="s">
        <v>48</v>
      </c>
      <c r="E1111">
        <v>4</v>
      </c>
      <c r="F1111">
        <v>77.47</v>
      </c>
      <c r="G1111" s="6" t="s">
        <v>1779</v>
      </c>
      <c r="H1111" s="6" t="s">
        <v>60</v>
      </c>
      <c r="I1111" s="6" t="s">
        <v>43</v>
      </c>
      <c r="J1111" s="6" t="s">
        <v>3984</v>
      </c>
      <c r="K1111">
        <v>7</v>
      </c>
      <c r="L1111" s="6" t="s">
        <v>21</v>
      </c>
      <c r="M1111" s="6" t="s">
        <v>22</v>
      </c>
      <c r="N1111">
        <v>309.88</v>
      </c>
    </row>
    <row r="1112" spans="1:14" x14ac:dyDescent="0.35">
      <c r="A1112" s="6" t="s">
        <v>3985</v>
      </c>
      <c r="B1112" s="7">
        <v>45347</v>
      </c>
      <c r="C1112" s="6" t="s">
        <v>3986</v>
      </c>
      <c r="D1112" s="6" t="s">
        <v>41</v>
      </c>
      <c r="E1112">
        <v>3</v>
      </c>
      <c r="F1112">
        <v>84.31</v>
      </c>
      <c r="G1112" s="6" t="s">
        <v>173</v>
      </c>
      <c r="H1112" s="6" t="s">
        <v>34</v>
      </c>
      <c r="I1112" s="6" t="s">
        <v>19</v>
      </c>
      <c r="J1112" s="6" t="s">
        <v>3987</v>
      </c>
      <c r="K1112">
        <v>3</v>
      </c>
      <c r="L1112" s="6" t="s">
        <v>21</v>
      </c>
      <c r="M1112" s="6" t="s">
        <v>38</v>
      </c>
      <c r="N1112">
        <v>252.93</v>
      </c>
    </row>
    <row r="1113" spans="1:14" x14ac:dyDescent="0.35">
      <c r="A1113" s="6" t="s">
        <v>3988</v>
      </c>
      <c r="B1113" s="7">
        <v>45052</v>
      </c>
      <c r="C1113" s="6" t="s">
        <v>3989</v>
      </c>
      <c r="D1113" s="6" t="s">
        <v>16</v>
      </c>
      <c r="E1113">
        <v>4</v>
      </c>
      <c r="F1113">
        <v>234.45</v>
      </c>
      <c r="G1113" s="6" t="s">
        <v>3990</v>
      </c>
      <c r="H1113" s="6" t="s">
        <v>27</v>
      </c>
      <c r="I1113" s="6" t="s">
        <v>35</v>
      </c>
      <c r="J1113" s="6" t="s">
        <v>3991</v>
      </c>
      <c r="K1113">
        <v>9</v>
      </c>
      <c r="L1113" s="6" t="s">
        <v>37</v>
      </c>
      <c r="M1113" s="6" t="s">
        <v>22</v>
      </c>
      <c r="N1113">
        <v>937.8</v>
      </c>
    </row>
    <row r="1114" spans="1:14" x14ac:dyDescent="0.35">
      <c r="A1114" s="6" t="s">
        <v>3992</v>
      </c>
      <c r="B1114" s="7">
        <v>45212</v>
      </c>
      <c r="C1114" s="6" t="s">
        <v>3993</v>
      </c>
      <c r="D1114" s="6" t="s">
        <v>73</v>
      </c>
      <c r="E1114">
        <v>1</v>
      </c>
      <c r="F1114">
        <v>356.81</v>
      </c>
      <c r="G1114" s="6" t="s">
        <v>529</v>
      </c>
      <c r="H1114" s="6" t="s">
        <v>27</v>
      </c>
      <c r="I1114" s="6" t="s">
        <v>50</v>
      </c>
      <c r="J1114" s="6" t="s">
        <v>3994</v>
      </c>
      <c r="K1114">
        <v>1</v>
      </c>
      <c r="L1114" s="6" t="s">
        <v>81</v>
      </c>
      <c r="M1114" s="6" t="s">
        <v>22</v>
      </c>
      <c r="N1114">
        <v>356.81</v>
      </c>
    </row>
    <row r="1115" spans="1:14" x14ac:dyDescent="0.35">
      <c r="A1115" s="6" t="s">
        <v>3995</v>
      </c>
      <c r="B1115" s="7">
        <v>45004</v>
      </c>
      <c r="C1115" s="6" t="s">
        <v>3996</v>
      </c>
      <c r="D1115" s="6" t="s">
        <v>73</v>
      </c>
      <c r="E1115">
        <v>4</v>
      </c>
      <c r="F1115">
        <v>209.99</v>
      </c>
      <c r="G1115" s="6" t="s">
        <v>3405</v>
      </c>
      <c r="H1115" s="6" t="s">
        <v>65</v>
      </c>
      <c r="I1115" s="6" t="s">
        <v>50</v>
      </c>
      <c r="J1115" s="6" t="s">
        <v>3997</v>
      </c>
      <c r="K1115">
        <v>8</v>
      </c>
      <c r="L1115" s="6" t="s">
        <v>4283</v>
      </c>
      <c r="M1115" s="6" t="s">
        <v>76</v>
      </c>
      <c r="N1115">
        <v>839.96</v>
      </c>
    </row>
    <row r="1116" spans="1:14" x14ac:dyDescent="0.35">
      <c r="A1116" s="6" t="s">
        <v>3998</v>
      </c>
      <c r="B1116" s="7">
        <v>45001</v>
      </c>
      <c r="C1116" s="6" t="s">
        <v>3999</v>
      </c>
      <c r="D1116" s="6" t="s">
        <v>32</v>
      </c>
      <c r="E1116">
        <v>3</v>
      </c>
      <c r="F1116">
        <v>659.88</v>
      </c>
      <c r="G1116" s="6" t="s">
        <v>837</v>
      </c>
      <c r="H1116" s="6" t="s">
        <v>60</v>
      </c>
      <c r="I1116" s="6" t="s">
        <v>35</v>
      </c>
      <c r="J1116" s="6" t="s">
        <v>4000</v>
      </c>
      <c r="K1116">
        <v>3</v>
      </c>
      <c r="L1116" s="6" t="s">
        <v>4283</v>
      </c>
      <c r="M1116" s="6" t="s">
        <v>76</v>
      </c>
      <c r="N1116">
        <v>1979.64</v>
      </c>
    </row>
    <row r="1117" spans="1:14" x14ac:dyDescent="0.35">
      <c r="A1117" s="6" t="s">
        <v>4001</v>
      </c>
      <c r="B1117" s="7">
        <v>45828</v>
      </c>
      <c r="C1117" s="6" t="s">
        <v>4002</v>
      </c>
      <c r="D1117" s="6" t="s">
        <v>58</v>
      </c>
      <c r="E1117">
        <v>2</v>
      </c>
      <c r="F1117">
        <v>336.32</v>
      </c>
      <c r="G1117" s="6" t="s">
        <v>952</v>
      </c>
      <c r="H1117" s="6" t="s">
        <v>27</v>
      </c>
      <c r="I1117" s="6" t="s">
        <v>43</v>
      </c>
      <c r="J1117" s="6" t="s">
        <v>4003</v>
      </c>
      <c r="K1117">
        <v>3</v>
      </c>
      <c r="L1117" s="6" t="s">
        <v>4283</v>
      </c>
      <c r="M1117" s="6" t="s">
        <v>76</v>
      </c>
      <c r="N1117">
        <v>672.64</v>
      </c>
    </row>
    <row r="1118" spans="1:14" x14ac:dyDescent="0.35">
      <c r="A1118" s="6" t="s">
        <v>4004</v>
      </c>
      <c r="B1118" s="7">
        <v>45213</v>
      </c>
      <c r="C1118" s="6" t="s">
        <v>4005</v>
      </c>
      <c r="D1118" s="6" t="s">
        <v>48</v>
      </c>
      <c r="E1118">
        <v>2</v>
      </c>
      <c r="F1118">
        <v>531.49</v>
      </c>
      <c r="G1118" s="6" t="s">
        <v>952</v>
      </c>
      <c r="H1118" s="6" t="s">
        <v>34</v>
      </c>
      <c r="I1118" s="6" t="s">
        <v>50</v>
      </c>
      <c r="J1118" s="6" t="s">
        <v>4006</v>
      </c>
      <c r="K1118">
        <v>7</v>
      </c>
      <c r="L1118" s="6" t="s">
        <v>81</v>
      </c>
      <c r="M1118" s="6" t="s">
        <v>45</v>
      </c>
      <c r="N1118">
        <v>1062.98</v>
      </c>
    </row>
    <row r="1119" spans="1:14" x14ac:dyDescent="0.35">
      <c r="A1119" s="6" t="s">
        <v>4007</v>
      </c>
      <c r="B1119" s="7">
        <v>45432</v>
      </c>
      <c r="C1119" s="6" t="s">
        <v>4008</v>
      </c>
      <c r="D1119" s="6" t="s">
        <v>41</v>
      </c>
      <c r="E1119">
        <v>3</v>
      </c>
      <c r="F1119">
        <v>588.44000000000005</v>
      </c>
      <c r="G1119" s="6" t="s">
        <v>1571</v>
      </c>
      <c r="H1119" s="6" t="s">
        <v>60</v>
      </c>
      <c r="I1119" s="6" t="s">
        <v>19</v>
      </c>
      <c r="J1119" s="6" t="s">
        <v>4009</v>
      </c>
      <c r="K1119">
        <v>8</v>
      </c>
      <c r="L1119" s="6" t="s">
        <v>81</v>
      </c>
      <c r="M1119" s="6" t="s">
        <v>76</v>
      </c>
      <c r="N1119">
        <v>1765.32</v>
      </c>
    </row>
    <row r="1120" spans="1:14" x14ac:dyDescent="0.35">
      <c r="A1120" s="6" t="s">
        <v>4010</v>
      </c>
      <c r="B1120" s="7">
        <v>45436</v>
      </c>
      <c r="C1120" s="6" t="s">
        <v>4011</v>
      </c>
      <c r="D1120" s="6" t="s">
        <v>25</v>
      </c>
      <c r="E1120">
        <v>3</v>
      </c>
      <c r="F1120">
        <v>251.48</v>
      </c>
      <c r="G1120" s="6" t="s">
        <v>1542</v>
      </c>
      <c r="H1120" s="6" t="s">
        <v>34</v>
      </c>
      <c r="I1120" s="6" t="s">
        <v>43</v>
      </c>
      <c r="J1120" s="6" t="s">
        <v>4012</v>
      </c>
      <c r="K1120">
        <v>4</v>
      </c>
      <c r="L1120" s="6" t="s">
        <v>4283</v>
      </c>
      <c r="M1120" s="6" t="s">
        <v>38</v>
      </c>
      <c r="N1120">
        <v>754.44</v>
      </c>
    </row>
    <row r="1121" spans="1:14" x14ac:dyDescent="0.35">
      <c r="A1121" s="6" t="s">
        <v>4013</v>
      </c>
      <c r="B1121" s="7">
        <v>45620</v>
      </c>
      <c r="C1121" s="6" t="s">
        <v>4014</v>
      </c>
      <c r="D1121" s="6" t="s">
        <v>58</v>
      </c>
      <c r="E1121">
        <v>1</v>
      </c>
      <c r="F1121">
        <v>684.65</v>
      </c>
      <c r="G1121" s="6" t="s">
        <v>1054</v>
      </c>
      <c r="H1121" s="6" t="s">
        <v>34</v>
      </c>
      <c r="I1121" s="6" t="s">
        <v>50</v>
      </c>
      <c r="J1121" s="6" t="s">
        <v>4015</v>
      </c>
      <c r="K1121">
        <v>1</v>
      </c>
      <c r="L1121" s="6" t="s">
        <v>37</v>
      </c>
      <c r="M1121" s="6" t="s">
        <v>38</v>
      </c>
      <c r="N1121">
        <v>684.65</v>
      </c>
    </row>
    <row r="1122" spans="1:14" x14ac:dyDescent="0.35">
      <c r="A1122" s="6" t="s">
        <v>4016</v>
      </c>
      <c r="B1122" s="7">
        <v>45787</v>
      </c>
      <c r="C1122" s="6" t="s">
        <v>4017</v>
      </c>
      <c r="D1122" s="6" t="s">
        <v>32</v>
      </c>
      <c r="E1122">
        <v>1</v>
      </c>
      <c r="F1122">
        <v>195.86</v>
      </c>
      <c r="G1122" s="6" t="s">
        <v>201</v>
      </c>
      <c r="H1122" s="6" t="s">
        <v>27</v>
      </c>
      <c r="I1122" s="6" t="s">
        <v>89</v>
      </c>
      <c r="J1122" s="6" t="s">
        <v>4018</v>
      </c>
      <c r="K1122">
        <v>3</v>
      </c>
      <c r="L1122" s="6" t="s">
        <v>4283</v>
      </c>
      <c r="M1122" s="6" t="s">
        <v>45</v>
      </c>
      <c r="N1122">
        <v>195.86</v>
      </c>
    </row>
    <row r="1123" spans="1:14" x14ac:dyDescent="0.35">
      <c r="A1123" s="6" t="s">
        <v>4019</v>
      </c>
      <c r="B1123" s="7">
        <v>45074</v>
      </c>
      <c r="C1123" s="6" t="s">
        <v>4020</v>
      </c>
      <c r="D1123" s="6" t="s">
        <v>25</v>
      </c>
      <c r="E1123">
        <v>3</v>
      </c>
      <c r="F1123">
        <v>50.34</v>
      </c>
      <c r="G1123" s="6" t="s">
        <v>3226</v>
      </c>
      <c r="H1123" s="6" t="s">
        <v>60</v>
      </c>
      <c r="I1123" s="6" t="s">
        <v>43</v>
      </c>
      <c r="J1123" s="6" t="s">
        <v>4021</v>
      </c>
      <c r="K1123">
        <v>3</v>
      </c>
      <c r="L1123" s="6" t="s">
        <v>37</v>
      </c>
      <c r="M1123" s="6" t="s">
        <v>22</v>
      </c>
      <c r="N1123">
        <v>151.02000000000001</v>
      </c>
    </row>
    <row r="1124" spans="1:14" x14ac:dyDescent="0.35">
      <c r="A1124" s="6" t="s">
        <v>4022</v>
      </c>
      <c r="B1124" s="7">
        <v>45084</v>
      </c>
      <c r="C1124" s="6" t="s">
        <v>1065</v>
      </c>
      <c r="D1124" s="6" t="s">
        <v>16</v>
      </c>
      <c r="E1124">
        <v>5</v>
      </c>
      <c r="F1124">
        <v>678.19</v>
      </c>
      <c r="G1124" s="6" t="s">
        <v>3733</v>
      </c>
      <c r="H1124" s="6" t="s">
        <v>27</v>
      </c>
      <c r="I1124" s="6" t="s">
        <v>43</v>
      </c>
      <c r="J1124" s="6" t="s">
        <v>4023</v>
      </c>
      <c r="K1124">
        <v>8</v>
      </c>
      <c r="L1124" s="6" t="s">
        <v>4283</v>
      </c>
      <c r="M1124" s="6" t="s">
        <v>45</v>
      </c>
      <c r="N1124">
        <v>3390.95</v>
      </c>
    </row>
    <row r="1125" spans="1:14" x14ac:dyDescent="0.35">
      <c r="A1125" s="6" t="s">
        <v>4024</v>
      </c>
      <c r="B1125" s="7">
        <v>45030</v>
      </c>
      <c r="C1125" s="6" t="s">
        <v>4025</v>
      </c>
      <c r="D1125" s="6" t="s">
        <v>32</v>
      </c>
      <c r="E1125">
        <v>3</v>
      </c>
      <c r="F1125">
        <v>554.25</v>
      </c>
      <c r="G1125" s="6" t="s">
        <v>4026</v>
      </c>
      <c r="H1125" s="6" t="s">
        <v>18</v>
      </c>
      <c r="I1125" s="6" t="s">
        <v>19</v>
      </c>
      <c r="J1125" s="6" t="s">
        <v>4027</v>
      </c>
      <c r="K1125">
        <v>6</v>
      </c>
      <c r="L1125" s="6" t="s">
        <v>81</v>
      </c>
      <c r="M1125" s="6" t="s">
        <v>29</v>
      </c>
      <c r="N1125">
        <v>1662.75</v>
      </c>
    </row>
    <row r="1126" spans="1:14" x14ac:dyDescent="0.35">
      <c r="A1126" s="6" t="s">
        <v>4028</v>
      </c>
      <c r="B1126" s="7">
        <v>45055</v>
      </c>
      <c r="C1126" s="6" t="s">
        <v>4029</v>
      </c>
      <c r="D1126" s="6" t="s">
        <v>41</v>
      </c>
      <c r="E1126">
        <v>4</v>
      </c>
      <c r="F1126">
        <v>576.87</v>
      </c>
      <c r="G1126" s="6" t="s">
        <v>4030</v>
      </c>
      <c r="H1126" s="6" t="s">
        <v>60</v>
      </c>
      <c r="I1126" s="6" t="s">
        <v>43</v>
      </c>
      <c r="J1126" s="6" t="s">
        <v>4031</v>
      </c>
      <c r="K1126">
        <v>5</v>
      </c>
      <c r="L1126" s="6" t="s">
        <v>4283</v>
      </c>
      <c r="M1126" s="6" t="s">
        <v>22</v>
      </c>
      <c r="N1126">
        <v>2307.48</v>
      </c>
    </row>
    <row r="1127" spans="1:14" x14ac:dyDescent="0.35">
      <c r="A1127" s="6" t="s">
        <v>4032</v>
      </c>
      <c r="B1127" s="7">
        <v>45215</v>
      </c>
      <c r="C1127" s="6" t="s">
        <v>4033</v>
      </c>
      <c r="D1127" s="6" t="s">
        <v>73</v>
      </c>
      <c r="E1127">
        <v>4</v>
      </c>
      <c r="F1127">
        <v>408.36</v>
      </c>
      <c r="G1127" s="6" t="s">
        <v>3180</v>
      </c>
      <c r="H1127" s="6" t="s">
        <v>60</v>
      </c>
      <c r="I1127" s="6" t="s">
        <v>35</v>
      </c>
      <c r="J1127" s="6" t="s">
        <v>4034</v>
      </c>
      <c r="K1127">
        <v>4</v>
      </c>
      <c r="L1127" s="6" t="s">
        <v>37</v>
      </c>
      <c r="M1127" s="6" t="s">
        <v>29</v>
      </c>
      <c r="N1127">
        <v>1633.44</v>
      </c>
    </row>
    <row r="1128" spans="1:14" x14ac:dyDescent="0.35">
      <c r="A1128" s="6" t="s">
        <v>4035</v>
      </c>
      <c r="B1128" s="7">
        <v>45495</v>
      </c>
      <c r="C1128" s="6" t="s">
        <v>4036</v>
      </c>
      <c r="D1128" s="6" t="s">
        <v>25</v>
      </c>
      <c r="E1128">
        <v>5</v>
      </c>
      <c r="F1128">
        <v>190.11</v>
      </c>
      <c r="G1128" s="6" t="s">
        <v>4037</v>
      </c>
      <c r="H1128" s="6" t="s">
        <v>65</v>
      </c>
      <c r="I1128" s="6" t="s">
        <v>50</v>
      </c>
      <c r="J1128" s="6" t="s">
        <v>4038</v>
      </c>
      <c r="K1128">
        <v>7</v>
      </c>
      <c r="L1128" s="6" t="s">
        <v>21</v>
      </c>
      <c r="M1128" s="6" t="s">
        <v>76</v>
      </c>
      <c r="N1128">
        <v>950.55</v>
      </c>
    </row>
    <row r="1129" spans="1:14" x14ac:dyDescent="0.35">
      <c r="A1129" s="6" t="s">
        <v>4039</v>
      </c>
      <c r="B1129" s="7">
        <v>45731</v>
      </c>
      <c r="C1129" s="6" t="s">
        <v>4040</v>
      </c>
      <c r="D1129" s="6" t="s">
        <v>48</v>
      </c>
      <c r="E1129">
        <v>3</v>
      </c>
      <c r="F1129">
        <v>602.75</v>
      </c>
      <c r="G1129" s="6" t="s">
        <v>3011</v>
      </c>
      <c r="H1129" s="6" t="s">
        <v>34</v>
      </c>
      <c r="I1129" s="6" t="s">
        <v>19</v>
      </c>
      <c r="J1129" s="6" t="s">
        <v>4041</v>
      </c>
      <c r="K1129">
        <v>6</v>
      </c>
      <c r="L1129" s="6" t="s">
        <v>21</v>
      </c>
      <c r="M1129" s="6" t="s">
        <v>38</v>
      </c>
      <c r="N1129">
        <v>1808.25</v>
      </c>
    </row>
    <row r="1130" spans="1:14" x14ac:dyDescent="0.35">
      <c r="A1130" s="6" t="s">
        <v>4042</v>
      </c>
      <c r="B1130" s="7">
        <v>45155</v>
      </c>
      <c r="C1130" s="6" t="s">
        <v>4043</v>
      </c>
      <c r="D1130" s="6" t="s">
        <v>16</v>
      </c>
      <c r="E1130">
        <v>3</v>
      </c>
      <c r="F1130">
        <v>646.79</v>
      </c>
      <c r="G1130" s="6" t="s">
        <v>379</v>
      </c>
      <c r="H1130" s="6" t="s">
        <v>65</v>
      </c>
      <c r="I1130" s="6" t="s">
        <v>35</v>
      </c>
      <c r="J1130" s="6" t="s">
        <v>4044</v>
      </c>
      <c r="K1130">
        <v>5</v>
      </c>
      <c r="L1130" s="6" t="s">
        <v>81</v>
      </c>
      <c r="M1130" s="6" t="s">
        <v>76</v>
      </c>
      <c r="N1130">
        <v>1940.37</v>
      </c>
    </row>
    <row r="1131" spans="1:14" x14ac:dyDescent="0.35">
      <c r="A1131" s="6" t="s">
        <v>4045</v>
      </c>
      <c r="B1131" s="7">
        <v>45088</v>
      </c>
      <c r="C1131" s="6" t="s">
        <v>4046</v>
      </c>
      <c r="D1131" s="6" t="s">
        <v>41</v>
      </c>
      <c r="E1131">
        <v>4</v>
      </c>
      <c r="F1131">
        <v>418.71</v>
      </c>
      <c r="G1131" s="6" t="s">
        <v>339</v>
      </c>
      <c r="H1131" s="6" t="s">
        <v>65</v>
      </c>
      <c r="I1131" s="6" t="s">
        <v>89</v>
      </c>
      <c r="J1131" s="6" t="s">
        <v>4047</v>
      </c>
      <c r="K1131">
        <v>8</v>
      </c>
      <c r="L1131" s="6" t="s">
        <v>37</v>
      </c>
      <c r="M1131" s="6" t="s">
        <v>22</v>
      </c>
      <c r="N1131">
        <v>1674.84</v>
      </c>
    </row>
    <row r="1132" spans="1:14" x14ac:dyDescent="0.35">
      <c r="A1132" s="6" t="s">
        <v>4048</v>
      </c>
      <c r="B1132" s="7">
        <v>45704</v>
      </c>
      <c r="C1132" s="6" t="s">
        <v>4049</v>
      </c>
      <c r="D1132" s="6" t="s">
        <v>58</v>
      </c>
      <c r="E1132">
        <v>2</v>
      </c>
      <c r="F1132">
        <v>323.45</v>
      </c>
      <c r="G1132" s="6" t="s">
        <v>426</v>
      </c>
      <c r="H1132" s="6" t="s">
        <v>34</v>
      </c>
      <c r="I1132" s="6" t="s">
        <v>43</v>
      </c>
      <c r="J1132" s="6" t="s">
        <v>4050</v>
      </c>
      <c r="K1132">
        <v>5</v>
      </c>
      <c r="L1132" s="6" t="s">
        <v>37</v>
      </c>
      <c r="M1132" s="6" t="s">
        <v>22</v>
      </c>
      <c r="N1132">
        <v>646.9</v>
      </c>
    </row>
    <row r="1133" spans="1:14" x14ac:dyDescent="0.35">
      <c r="A1133" s="6" t="s">
        <v>4051</v>
      </c>
      <c r="B1133" s="7">
        <v>45491</v>
      </c>
      <c r="C1133" s="6" t="s">
        <v>4052</v>
      </c>
      <c r="D1133" s="6" t="s">
        <v>25</v>
      </c>
      <c r="E1133">
        <v>1</v>
      </c>
      <c r="F1133">
        <v>694.5</v>
      </c>
      <c r="G1133" s="6" t="s">
        <v>1125</v>
      </c>
      <c r="H1133" s="6" t="s">
        <v>34</v>
      </c>
      <c r="I1133" s="6" t="s">
        <v>89</v>
      </c>
      <c r="J1133" s="6" t="s">
        <v>4053</v>
      </c>
      <c r="K1133">
        <v>3</v>
      </c>
      <c r="L1133" s="6" t="s">
        <v>81</v>
      </c>
      <c r="M1133" s="6" t="s">
        <v>45</v>
      </c>
      <c r="N1133">
        <v>694.5</v>
      </c>
    </row>
    <row r="1134" spans="1:14" x14ac:dyDescent="0.35">
      <c r="A1134" s="6" t="s">
        <v>4054</v>
      </c>
      <c r="B1134" s="7">
        <v>45628</v>
      </c>
      <c r="C1134" s="6" t="s">
        <v>4055</v>
      </c>
      <c r="D1134" s="6" t="s">
        <v>41</v>
      </c>
      <c r="E1134">
        <v>2</v>
      </c>
      <c r="F1134">
        <v>337.32</v>
      </c>
      <c r="G1134" s="6" t="s">
        <v>929</v>
      </c>
      <c r="H1134" s="6" t="s">
        <v>34</v>
      </c>
      <c r="I1134" s="6" t="s">
        <v>35</v>
      </c>
      <c r="J1134" s="6" t="s">
        <v>4056</v>
      </c>
      <c r="K1134">
        <v>4</v>
      </c>
      <c r="L1134" s="6" t="s">
        <v>21</v>
      </c>
      <c r="M1134" s="6" t="s">
        <v>38</v>
      </c>
      <c r="N1134">
        <v>674.64</v>
      </c>
    </row>
    <row r="1135" spans="1:14" x14ac:dyDescent="0.35">
      <c r="A1135" s="6" t="s">
        <v>4057</v>
      </c>
      <c r="B1135" s="7">
        <v>45391</v>
      </c>
      <c r="C1135" s="6" t="s">
        <v>4058</v>
      </c>
      <c r="D1135" s="6" t="s">
        <v>48</v>
      </c>
      <c r="E1135">
        <v>2</v>
      </c>
      <c r="F1135">
        <v>467.91</v>
      </c>
      <c r="G1135" s="6" t="s">
        <v>873</v>
      </c>
      <c r="H1135" s="6" t="s">
        <v>60</v>
      </c>
      <c r="I1135" s="6" t="s">
        <v>43</v>
      </c>
      <c r="J1135" s="6" t="s">
        <v>4059</v>
      </c>
      <c r="K1135">
        <v>5</v>
      </c>
      <c r="L1135" s="6" t="s">
        <v>81</v>
      </c>
      <c r="M1135" s="6" t="s">
        <v>45</v>
      </c>
      <c r="N1135">
        <v>935.82</v>
      </c>
    </row>
    <row r="1136" spans="1:14" x14ac:dyDescent="0.35">
      <c r="A1136" s="6" t="s">
        <v>4060</v>
      </c>
      <c r="B1136" s="7">
        <v>45451</v>
      </c>
      <c r="C1136" s="6" t="s">
        <v>4061</v>
      </c>
      <c r="D1136" s="6" t="s">
        <v>73</v>
      </c>
      <c r="E1136">
        <v>4</v>
      </c>
      <c r="F1136">
        <v>38.28</v>
      </c>
      <c r="G1136" s="6" t="s">
        <v>4062</v>
      </c>
      <c r="H1136" s="6" t="s">
        <v>18</v>
      </c>
      <c r="I1136" s="6" t="s">
        <v>35</v>
      </c>
      <c r="J1136" s="6" t="s">
        <v>4063</v>
      </c>
      <c r="K1136">
        <v>4</v>
      </c>
      <c r="L1136" s="6" t="s">
        <v>81</v>
      </c>
      <c r="M1136" s="6" t="s">
        <v>45</v>
      </c>
      <c r="N1136">
        <v>153.12</v>
      </c>
    </row>
    <row r="1137" spans="1:14" x14ac:dyDescent="0.35">
      <c r="A1137" s="6" t="s">
        <v>4064</v>
      </c>
      <c r="B1137" s="7">
        <v>45288</v>
      </c>
      <c r="C1137" s="6" t="s">
        <v>4065</v>
      </c>
      <c r="D1137" s="6" t="s">
        <v>48</v>
      </c>
      <c r="E1137">
        <v>2</v>
      </c>
      <c r="F1137">
        <v>73.41</v>
      </c>
      <c r="G1137" s="6" t="s">
        <v>952</v>
      </c>
      <c r="H1137" s="6" t="s">
        <v>27</v>
      </c>
      <c r="I1137" s="6" t="s">
        <v>19</v>
      </c>
      <c r="J1137" s="6" t="s">
        <v>4066</v>
      </c>
      <c r="K1137">
        <v>2</v>
      </c>
      <c r="L1137" s="6" t="s">
        <v>21</v>
      </c>
      <c r="M1137" s="6" t="s">
        <v>76</v>
      </c>
      <c r="N1137">
        <v>146.82</v>
      </c>
    </row>
    <row r="1138" spans="1:14" x14ac:dyDescent="0.35">
      <c r="A1138" s="6" t="s">
        <v>4067</v>
      </c>
      <c r="B1138" s="7">
        <v>45193</v>
      </c>
      <c r="C1138" s="6" t="s">
        <v>4068</v>
      </c>
      <c r="D1138" s="6" t="s">
        <v>32</v>
      </c>
      <c r="E1138">
        <v>3</v>
      </c>
      <c r="F1138">
        <v>668.33</v>
      </c>
      <c r="G1138" s="6" t="s">
        <v>2620</v>
      </c>
      <c r="H1138" s="6" t="s">
        <v>60</v>
      </c>
      <c r="I1138" s="6" t="s">
        <v>89</v>
      </c>
      <c r="J1138" s="6" t="s">
        <v>4069</v>
      </c>
      <c r="K1138">
        <v>4</v>
      </c>
      <c r="L1138" s="6" t="s">
        <v>81</v>
      </c>
      <c r="M1138" s="6" t="s">
        <v>45</v>
      </c>
      <c r="N1138">
        <v>2004.99</v>
      </c>
    </row>
    <row r="1139" spans="1:14" x14ac:dyDescent="0.35">
      <c r="A1139" s="6" t="s">
        <v>4070</v>
      </c>
      <c r="B1139" s="7">
        <v>45502</v>
      </c>
      <c r="C1139" s="6" t="s">
        <v>4071</v>
      </c>
      <c r="D1139" s="6" t="s">
        <v>48</v>
      </c>
      <c r="E1139">
        <v>4</v>
      </c>
      <c r="F1139">
        <v>410.21</v>
      </c>
      <c r="G1139" s="6" t="s">
        <v>4072</v>
      </c>
      <c r="H1139" s="6" t="s">
        <v>65</v>
      </c>
      <c r="I1139" s="6" t="s">
        <v>89</v>
      </c>
      <c r="J1139" s="6" t="s">
        <v>4073</v>
      </c>
      <c r="K1139">
        <v>5</v>
      </c>
      <c r="L1139" s="6" t="s">
        <v>81</v>
      </c>
      <c r="M1139" s="6" t="s">
        <v>22</v>
      </c>
      <c r="N1139">
        <v>1640.84</v>
      </c>
    </row>
    <row r="1140" spans="1:14" x14ac:dyDescent="0.35">
      <c r="A1140" s="6" t="s">
        <v>4074</v>
      </c>
      <c r="B1140" s="7">
        <v>45278</v>
      </c>
      <c r="C1140" s="6" t="s">
        <v>4075</v>
      </c>
      <c r="D1140" s="6" t="s">
        <v>73</v>
      </c>
      <c r="E1140">
        <v>4</v>
      </c>
      <c r="F1140">
        <v>294.41000000000003</v>
      </c>
      <c r="G1140" s="6" t="s">
        <v>2486</v>
      </c>
      <c r="H1140" s="6" t="s">
        <v>18</v>
      </c>
      <c r="I1140" s="6" t="s">
        <v>89</v>
      </c>
      <c r="J1140" s="6" t="s">
        <v>4076</v>
      </c>
      <c r="K1140">
        <v>4</v>
      </c>
      <c r="L1140" s="6" t="s">
        <v>4283</v>
      </c>
      <c r="M1140" s="6" t="s">
        <v>22</v>
      </c>
      <c r="N1140">
        <v>1177.6400000000001</v>
      </c>
    </row>
    <row r="1141" spans="1:14" x14ac:dyDescent="0.35">
      <c r="A1141" s="6" t="s">
        <v>4077</v>
      </c>
      <c r="B1141" s="7">
        <v>45717</v>
      </c>
      <c r="C1141" s="6" t="s">
        <v>3789</v>
      </c>
      <c r="D1141" s="6" t="s">
        <v>41</v>
      </c>
      <c r="E1141">
        <v>3</v>
      </c>
      <c r="F1141">
        <v>501.82</v>
      </c>
      <c r="G1141" s="6" t="s">
        <v>153</v>
      </c>
      <c r="H1141" s="6" t="s">
        <v>60</v>
      </c>
      <c r="I1141" s="6" t="s">
        <v>35</v>
      </c>
      <c r="J1141" s="6" t="s">
        <v>4078</v>
      </c>
      <c r="K1141">
        <v>4</v>
      </c>
      <c r="L1141" s="6" t="s">
        <v>37</v>
      </c>
      <c r="M1141" s="6" t="s">
        <v>38</v>
      </c>
      <c r="N1141">
        <v>1505.46</v>
      </c>
    </row>
    <row r="1142" spans="1:14" x14ac:dyDescent="0.35">
      <c r="A1142" s="6" t="s">
        <v>4079</v>
      </c>
      <c r="B1142" s="7">
        <v>45467</v>
      </c>
      <c r="C1142" s="6" t="s">
        <v>4080</v>
      </c>
      <c r="D1142" s="6" t="s">
        <v>48</v>
      </c>
      <c r="E1142">
        <v>2</v>
      </c>
      <c r="F1142">
        <v>552.83000000000004</v>
      </c>
      <c r="G1142" s="6" t="s">
        <v>69</v>
      </c>
      <c r="H1142" s="6" t="s">
        <v>34</v>
      </c>
      <c r="I1142" s="6" t="s">
        <v>35</v>
      </c>
      <c r="J1142" s="6" t="s">
        <v>4081</v>
      </c>
      <c r="K1142">
        <v>3</v>
      </c>
      <c r="L1142" s="6" t="s">
        <v>4283</v>
      </c>
      <c r="M1142" s="6" t="s">
        <v>29</v>
      </c>
      <c r="N1142">
        <v>1105.6600000000001</v>
      </c>
    </row>
    <row r="1143" spans="1:14" x14ac:dyDescent="0.35">
      <c r="A1143" s="6" t="s">
        <v>4082</v>
      </c>
      <c r="B1143" s="7">
        <v>45704</v>
      </c>
      <c r="C1143" s="6" t="s">
        <v>4083</v>
      </c>
      <c r="D1143" s="6" t="s">
        <v>41</v>
      </c>
      <c r="E1143">
        <v>3</v>
      </c>
      <c r="F1143">
        <v>498.66</v>
      </c>
      <c r="G1143" s="6" t="s">
        <v>109</v>
      </c>
      <c r="H1143" s="6" t="s">
        <v>65</v>
      </c>
      <c r="I1143" s="6" t="s">
        <v>35</v>
      </c>
      <c r="J1143" s="6" t="s">
        <v>4084</v>
      </c>
      <c r="K1143">
        <v>6</v>
      </c>
      <c r="L1143" s="6" t="s">
        <v>4283</v>
      </c>
      <c r="M1143" s="6" t="s">
        <v>38</v>
      </c>
      <c r="N1143">
        <v>1495.98</v>
      </c>
    </row>
    <row r="1144" spans="1:14" x14ac:dyDescent="0.35">
      <c r="A1144" s="6" t="s">
        <v>4085</v>
      </c>
      <c r="B1144" s="7">
        <v>45527</v>
      </c>
      <c r="C1144" s="6" t="s">
        <v>4086</v>
      </c>
      <c r="D1144" s="6" t="s">
        <v>25</v>
      </c>
      <c r="E1144">
        <v>4</v>
      </c>
      <c r="F1144">
        <v>695.1</v>
      </c>
      <c r="G1144" s="6" t="s">
        <v>4087</v>
      </c>
      <c r="H1144" s="6" t="s">
        <v>18</v>
      </c>
      <c r="I1144" s="6" t="s">
        <v>43</v>
      </c>
      <c r="J1144" s="6" t="s">
        <v>4088</v>
      </c>
      <c r="K1144">
        <v>8</v>
      </c>
      <c r="L1144" s="6" t="s">
        <v>4283</v>
      </c>
      <c r="M1144" s="6" t="s">
        <v>38</v>
      </c>
      <c r="N1144">
        <v>2780.4</v>
      </c>
    </row>
    <row r="1145" spans="1:14" x14ac:dyDescent="0.35">
      <c r="A1145" s="6" t="s">
        <v>4089</v>
      </c>
      <c r="B1145" s="7">
        <v>45019</v>
      </c>
      <c r="C1145" s="6" t="s">
        <v>4090</v>
      </c>
      <c r="D1145" s="6" t="s">
        <v>41</v>
      </c>
      <c r="E1145">
        <v>1</v>
      </c>
      <c r="F1145">
        <v>381.61</v>
      </c>
      <c r="G1145" s="6" t="s">
        <v>4091</v>
      </c>
      <c r="H1145" s="6" t="s">
        <v>18</v>
      </c>
      <c r="I1145" s="6" t="s">
        <v>89</v>
      </c>
      <c r="J1145" s="6" t="s">
        <v>4092</v>
      </c>
      <c r="K1145">
        <v>5</v>
      </c>
      <c r="L1145" s="6" t="s">
        <v>4283</v>
      </c>
      <c r="M1145" s="6" t="s">
        <v>38</v>
      </c>
      <c r="N1145">
        <v>381.61</v>
      </c>
    </row>
    <row r="1146" spans="1:14" x14ac:dyDescent="0.35">
      <c r="A1146" s="6" t="s">
        <v>4093</v>
      </c>
      <c r="B1146" s="7">
        <v>44973</v>
      </c>
      <c r="C1146" s="6" t="s">
        <v>4094</v>
      </c>
      <c r="D1146" s="6" t="s">
        <v>73</v>
      </c>
      <c r="E1146">
        <v>5</v>
      </c>
      <c r="F1146">
        <v>507.94</v>
      </c>
      <c r="G1146" s="6" t="s">
        <v>4095</v>
      </c>
      <c r="H1146" s="6" t="s">
        <v>27</v>
      </c>
      <c r="I1146" s="6" t="s">
        <v>35</v>
      </c>
      <c r="J1146" s="6" t="s">
        <v>4096</v>
      </c>
      <c r="K1146">
        <v>9</v>
      </c>
      <c r="L1146" s="6" t="s">
        <v>4283</v>
      </c>
      <c r="M1146" s="6" t="s">
        <v>45</v>
      </c>
      <c r="N1146">
        <v>2539.6999999999998</v>
      </c>
    </row>
    <row r="1147" spans="1:14" x14ac:dyDescent="0.35">
      <c r="A1147" s="6" t="s">
        <v>4097</v>
      </c>
      <c r="B1147" s="7">
        <v>45789</v>
      </c>
      <c r="C1147" s="6" t="s">
        <v>4098</v>
      </c>
      <c r="D1147" s="6" t="s">
        <v>73</v>
      </c>
      <c r="E1147">
        <v>3</v>
      </c>
      <c r="F1147">
        <v>571.53</v>
      </c>
      <c r="G1147" s="6" t="s">
        <v>1015</v>
      </c>
      <c r="H1147" s="6" t="s">
        <v>18</v>
      </c>
      <c r="I1147" s="6" t="s">
        <v>50</v>
      </c>
      <c r="J1147" s="6" t="s">
        <v>4099</v>
      </c>
      <c r="K1147">
        <v>6</v>
      </c>
      <c r="L1147" s="6" t="s">
        <v>37</v>
      </c>
      <c r="M1147" s="6" t="s">
        <v>45</v>
      </c>
      <c r="N1147">
        <v>1714.59</v>
      </c>
    </row>
    <row r="1148" spans="1:14" x14ac:dyDescent="0.35">
      <c r="A1148" s="6" t="s">
        <v>4100</v>
      </c>
      <c r="B1148" s="7">
        <v>45568</v>
      </c>
      <c r="C1148" s="6" t="s">
        <v>4101</v>
      </c>
      <c r="D1148" s="6" t="s">
        <v>16</v>
      </c>
      <c r="E1148">
        <v>5</v>
      </c>
      <c r="F1148">
        <v>421.44</v>
      </c>
      <c r="G1148" s="6" t="s">
        <v>1739</v>
      </c>
      <c r="H1148" s="6" t="s">
        <v>65</v>
      </c>
      <c r="I1148" s="6" t="s">
        <v>89</v>
      </c>
      <c r="J1148" s="6" t="s">
        <v>4102</v>
      </c>
      <c r="K1148">
        <v>5</v>
      </c>
      <c r="L1148" s="6" t="s">
        <v>21</v>
      </c>
      <c r="M1148" s="6" t="s">
        <v>22</v>
      </c>
      <c r="N1148">
        <v>2107.1999999999998</v>
      </c>
    </row>
    <row r="1149" spans="1:14" x14ac:dyDescent="0.35">
      <c r="A1149" s="6" t="s">
        <v>4103</v>
      </c>
      <c r="B1149" s="7">
        <v>45659</v>
      </c>
      <c r="C1149" s="6" t="s">
        <v>4104</v>
      </c>
      <c r="D1149" s="6" t="s">
        <v>41</v>
      </c>
      <c r="E1149">
        <v>2</v>
      </c>
      <c r="F1149">
        <v>588.29999999999995</v>
      </c>
      <c r="G1149" s="6" t="s">
        <v>4105</v>
      </c>
      <c r="H1149" s="6" t="s">
        <v>27</v>
      </c>
      <c r="I1149" s="6" t="s">
        <v>89</v>
      </c>
      <c r="J1149" s="6" t="s">
        <v>4106</v>
      </c>
      <c r="K1149">
        <v>2</v>
      </c>
      <c r="L1149" s="6" t="s">
        <v>37</v>
      </c>
      <c r="M1149" s="6" t="s">
        <v>38</v>
      </c>
      <c r="N1149">
        <v>1176.5999999999999</v>
      </c>
    </row>
    <row r="1150" spans="1:14" x14ac:dyDescent="0.35">
      <c r="A1150" s="6" t="s">
        <v>4107</v>
      </c>
      <c r="B1150" s="7">
        <v>45468</v>
      </c>
      <c r="C1150" s="6" t="s">
        <v>4108</v>
      </c>
      <c r="D1150" s="6" t="s">
        <v>25</v>
      </c>
      <c r="E1150">
        <v>1</v>
      </c>
      <c r="F1150">
        <v>355.15</v>
      </c>
      <c r="G1150" s="6" t="s">
        <v>4109</v>
      </c>
      <c r="H1150" s="6" t="s">
        <v>65</v>
      </c>
      <c r="I1150" s="6" t="s">
        <v>43</v>
      </c>
      <c r="J1150" s="6" t="s">
        <v>4110</v>
      </c>
      <c r="K1150">
        <v>2</v>
      </c>
      <c r="L1150" s="6" t="s">
        <v>21</v>
      </c>
      <c r="M1150" s="6" t="s">
        <v>38</v>
      </c>
      <c r="N1150">
        <v>355.15</v>
      </c>
    </row>
    <row r="1151" spans="1:14" x14ac:dyDescent="0.35">
      <c r="A1151" s="6" t="s">
        <v>4111</v>
      </c>
      <c r="B1151" s="7">
        <v>45498</v>
      </c>
      <c r="C1151" s="6" t="s">
        <v>4112</v>
      </c>
      <c r="D1151" s="6" t="s">
        <v>41</v>
      </c>
      <c r="E1151">
        <v>2</v>
      </c>
      <c r="F1151">
        <v>695.29</v>
      </c>
      <c r="G1151" s="6" t="s">
        <v>4113</v>
      </c>
      <c r="H1151" s="6" t="s">
        <v>34</v>
      </c>
      <c r="I1151" s="6" t="s">
        <v>89</v>
      </c>
      <c r="J1151" s="6" t="s">
        <v>4114</v>
      </c>
      <c r="K1151">
        <v>6</v>
      </c>
      <c r="L1151" s="6" t="s">
        <v>37</v>
      </c>
      <c r="M1151" s="6" t="s">
        <v>22</v>
      </c>
      <c r="N1151">
        <v>1390.58</v>
      </c>
    </row>
    <row r="1152" spans="1:14" x14ac:dyDescent="0.35">
      <c r="A1152" s="6" t="s">
        <v>4115</v>
      </c>
      <c r="B1152" s="7">
        <v>44977</v>
      </c>
      <c r="C1152" s="6" t="s">
        <v>4116</v>
      </c>
      <c r="D1152" s="6" t="s">
        <v>73</v>
      </c>
      <c r="E1152">
        <v>4</v>
      </c>
      <c r="F1152">
        <v>302.64999999999998</v>
      </c>
      <c r="G1152" s="6" t="s">
        <v>1089</v>
      </c>
      <c r="H1152" s="6" t="s">
        <v>34</v>
      </c>
      <c r="I1152" s="6" t="s">
        <v>35</v>
      </c>
      <c r="J1152" s="6" t="s">
        <v>4117</v>
      </c>
      <c r="K1152">
        <v>8</v>
      </c>
      <c r="L1152" s="6" t="s">
        <v>21</v>
      </c>
      <c r="M1152" s="6" t="s">
        <v>29</v>
      </c>
      <c r="N1152">
        <v>1210.5999999999999</v>
      </c>
    </row>
    <row r="1153" spans="1:14" x14ac:dyDescent="0.35">
      <c r="A1153" s="6" t="s">
        <v>4118</v>
      </c>
      <c r="B1153" s="7">
        <v>44955</v>
      </c>
      <c r="C1153" s="6" t="s">
        <v>4119</v>
      </c>
      <c r="D1153" s="6" t="s">
        <v>41</v>
      </c>
      <c r="E1153">
        <v>2</v>
      </c>
      <c r="F1153">
        <v>608.04</v>
      </c>
      <c r="G1153" s="6" t="s">
        <v>4120</v>
      </c>
      <c r="H1153" s="6" t="s">
        <v>65</v>
      </c>
      <c r="I1153" s="6" t="s">
        <v>35</v>
      </c>
      <c r="J1153" s="6" t="s">
        <v>4121</v>
      </c>
      <c r="K1153">
        <v>4</v>
      </c>
      <c r="L1153" s="6" t="s">
        <v>4283</v>
      </c>
      <c r="M1153" s="6" t="s">
        <v>76</v>
      </c>
      <c r="N1153">
        <v>1216.08</v>
      </c>
    </row>
    <row r="1154" spans="1:14" x14ac:dyDescent="0.35">
      <c r="A1154" s="6" t="s">
        <v>4122</v>
      </c>
      <c r="B1154" s="7">
        <v>45239</v>
      </c>
      <c r="C1154" s="6" t="s">
        <v>4123</v>
      </c>
      <c r="D1154" s="6" t="s">
        <v>32</v>
      </c>
      <c r="E1154">
        <v>2</v>
      </c>
      <c r="F1154">
        <v>344.18</v>
      </c>
      <c r="G1154" s="6" t="s">
        <v>426</v>
      </c>
      <c r="H1154" s="6" t="s">
        <v>34</v>
      </c>
      <c r="I1154" s="6" t="s">
        <v>19</v>
      </c>
      <c r="J1154" s="6" t="s">
        <v>4124</v>
      </c>
      <c r="K1154">
        <v>7</v>
      </c>
      <c r="L1154" s="6" t="s">
        <v>4283</v>
      </c>
      <c r="M1154" s="6" t="s">
        <v>29</v>
      </c>
      <c r="N1154">
        <v>688.36</v>
      </c>
    </row>
    <row r="1155" spans="1:14" x14ac:dyDescent="0.35">
      <c r="A1155" s="6" t="s">
        <v>4125</v>
      </c>
      <c r="B1155" s="7">
        <v>45642</v>
      </c>
      <c r="C1155" s="6" t="s">
        <v>4126</v>
      </c>
      <c r="D1155" s="6" t="s">
        <v>16</v>
      </c>
      <c r="E1155">
        <v>4</v>
      </c>
      <c r="F1155">
        <v>696.71</v>
      </c>
      <c r="G1155" s="6" t="s">
        <v>4127</v>
      </c>
      <c r="H1155" s="6" t="s">
        <v>18</v>
      </c>
      <c r="I1155" s="6" t="s">
        <v>19</v>
      </c>
      <c r="J1155" s="6" t="s">
        <v>4128</v>
      </c>
      <c r="K1155">
        <v>4</v>
      </c>
      <c r="L1155" s="6" t="s">
        <v>4283</v>
      </c>
      <c r="M1155" s="6" t="s">
        <v>22</v>
      </c>
      <c r="N1155">
        <v>2786.84</v>
      </c>
    </row>
    <row r="1156" spans="1:14" x14ac:dyDescent="0.35">
      <c r="A1156" s="6" t="s">
        <v>4129</v>
      </c>
      <c r="B1156" s="7">
        <v>45819</v>
      </c>
      <c r="C1156" s="6" t="s">
        <v>4130</v>
      </c>
      <c r="D1156" s="6" t="s">
        <v>16</v>
      </c>
      <c r="E1156">
        <v>3</v>
      </c>
      <c r="F1156">
        <v>198.63</v>
      </c>
      <c r="G1156" s="6" t="s">
        <v>502</v>
      </c>
      <c r="H1156" s="6" t="s">
        <v>65</v>
      </c>
      <c r="I1156" s="6" t="s">
        <v>89</v>
      </c>
      <c r="J1156" s="6" t="s">
        <v>4131</v>
      </c>
      <c r="K1156">
        <v>8</v>
      </c>
      <c r="L1156" s="6" t="s">
        <v>21</v>
      </c>
      <c r="M1156" s="6" t="s">
        <v>22</v>
      </c>
      <c r="N1156">
        <v>595.89</v>
      </c>
    </row>
    <row r="1157" spans="1:14" x14ac:dyDescent="0.35">
      <c r="A1157" s="6" t="s">
        <v>4132</v>
      </c>
      <c r="B1157" s="7">
        <v>45151</v>
      </c>
      <c r="C1157" s="6" t="s">
        <v>4133</v>
      </c>
      <c r="D1157" s="6" t="s">
        <v>48</v>
      </c>
      <c r="E1157">
        <v>4</v>
      </c>
      <c r="F1157">
        <v>534.57000000000005</v>
      </c>
      <c r="G1157" s="6" t="s">
        <v>681</v>
      </c>
      <c r="H1157" s="6" t="s">
        <v>34</v>
      </c>
      <c r="I1157" s="6" t="s">
        <v>50</v>
      </c>
      <c r="J1157" s="6" t="s">
        <v>4134</v>
      </c>
      <c r="K1157">
        <v>6</v>
      </c>
      <c r="L1157" s="6" t="s">
        <v>37</v>
      </c>
      <c r="M1157" s="6" t="s">
        <v>45</v>
      </c>
      <c r="N1157">
        <v>2138.2800000000002</v>
      </c>
    </row>
    <row r="1158" spans="1:14" x14ac:dyDescent="0.35">
      <c r="A1158" s="6" t="s">
        <v>4135</v>
      </c>
      <c r="B1158" s="7">
        <v>45126</v>
      </c>
      <c r="C1158" s="6" t="s">
        <v>4136</v>
      </c>
      <c r="D1158" s="6" t="s">
        <v>58</v>
      </c>
      <c r="E1158">
        <v>4</v>
      </c>
      <c r="F1158">
        <v>690.78</v>
      </c>
      <c r="G1158" s="6" t="s">
        <v>97</v>
      </c>
      <c r="H1158" s="6" t="s">
        <v>34</v>
      </c>
      <c r="I1158" s="6" t="s">
        <v>19</v>
      </c>
      <c r="J1158" s="6" t="s">
        <v>4137</v>
      </c>
      <c r="K1158">
        <v>9</v>
      </c>
      <c r="L1158" s="6" t="s">
        <v>4283</v>
      </c>
      <c r="M1158" s="6" t="s">
        <v>29</v>
      </c>
      <c r="N1158">
        <v>2763.12</v>
      </c>
    </row>
    <row r="1159" spans="1:14" x14ac:dyDescent="0.35">
      <c r="A1159" s="6" t="s">
        <v>4138</v>
      </c>
      <c r="B1159" s="7">
        <v>45441</v>
      </c>
      <c r="C1159" s="6" t="s">
        <v>4139</v>
      </c>
      <c r="D1159" s="6" t="s">
        <v>16</v>
      </c>
      <c r="E1159">
        <v>3</v>
      </c>
      <c r="F1159">
        <v>301.55</v>
      </c>
      <c r="G1159" s="6" t="s">
        <v>914</v>
      </c>
      <c r="H1159" s="6" t="s">
        <v>18</v>
      </c>
      <c r="I1159" s="6" t="s">
        <v>50</v>
      </c>
      <c r="J1159" s="6" t="s">
        <v>4140</v>
      </c>
      <c r="K1159">
        <v>5</v>
      </c>
      <c r="L1159" s="6" t="s">
        <v>37</v>
      </c>
      <c r="M1159" s="6" t="s">
        <v>76</v>
      </c>
      <c r="N1159">
        <v>904.65</v>
      </c>
    </row>
    <row r="1160" spans="1:14" x14ac:dyDescent="0.35">
      <c r="A1160" s="6" t="s">
        <v>4141</v>
      </c>
      <c r="B1160" s="7">
        <v>45036</v>
      </c>
      <c r="C1160" s="6" t="s">
        <v>4142</v>
      </c>
      <c r="D1160" s="6" t="s">
        <v>16</v>
      </c>
      <c r="E1160">
        <v>4</v>
      </c>
      <c r="F1160">
        <v>27.42</v>
      </c>
      <c r="G1160" s="6" t="s">
        <v>1712</v>
      </c>
      <c r="H1160" s="6" t="s">
        <v>18</v>
      </c>
      <c r="I1160" s="6" t="s">
        <v>89</v>
      </c>
      <c r="J1160" s="6" t="s">
        <v>4143</v>
      </c>
      <c r="K1160">
        <v>4</v>
      </c>
      <c r="L1160" s="6" t="s">
        <v>21</v>
      </c>
      <c r="M1160" s="6" t="s">
        <v>29</v>
      </c>
      <c r="N1160">
        <v>109.68</v>
      </c>
    </row>
    <row r="1161" spans="1:14" x14ac:dyDescent="0.35">
      <c r="A1161" s="6" t="s">
        <v>4144</v>
      </c>
      <c r="B1161" s="7">
        <v>45345</v>
      </c>
      <c r="C1161" s="6" t="s">
        <v>4145</v>
      </c>
      <c r="D1161" s="6" t="s">
        <v>73</v>
      </c>
      <c r="E1161">
        <v>4</v>
      </c>
      <c r="F1161">
        <v>466.7</v>
      </c>
      <c r="G1161" s="6" t="s">
        <v>1762</v>
      </c>
      <c r="H1161" s="6" t="s">
        <v>18</v>
      </c>
      <c r="I1161" s="6" t="s">
        <v>43</v>
      </c>
      <c r="J1161" s="6" t="s">
        <v>4146</v>
      </c>
      <c r="K1161">
        <v>8</v>
      </c>
      <c r="L1161" s="6" t="s">
        <v>4283</v>
      </c>
      <c r="M1161" s="6" t="s">
        <v>22</v>
      </c>
      <c r="N1161">
        <v>1866.8</v>
      </c>
    </row>
    <row r="1162" spans="1:14" x14ac:dyDescent="0.35">
      <c r="A1162" s="6" t="s">
        <v>4147</v>
      </c>
      <c r="B1162" s="7">
        <v>45539</v>
      </c>
      <c r="C1162" s="6" t="s">
        <v>4148</v>
      </c>
      <c r="D1162" s="6" t="s">
        <v>73</v>
      </c>
      <c r="E1162">
        <v>1</v>
      </c>
      <c r="F1162">
        <v>541.64</v>
      </c>
      <c r="G1162" s="6" t="s">
        <v>1827</v>
      </c>
      <c r="H1162" s="6" t="s">
        <v>18</v>
      </c>
      <c r="I1162" s="6" t="s">
        <v>19</v>
      </c>
      <c r="J1162" s="6" t="s">
        <v>4149</v>
      </c>
      <c r="K1162">
        <v>5</v>
      </c>
      <c r="L1162" s="6" t="s">
        <v>21</v>
      </c>
      <c r="M1162" s="6" t="s">
        <v>38</v>
      </c>
      <c r="N1162">
        <v>541.64</v>
      </c>
    </row>
    <row r="1163" spans="1:14" x14ac:dyDescent="0.35">
      <c r="A1163" s="6" t="s">
        <v>4150</v>
      </c>
      <c r="B1163" s="7">
        <v>45215</v>
      </c>
      <c r="C1163" s="6" t="s">
        <v>4151</v>
      </c>
      <c r="D1163" s="6" t="s">
        <v>25</v>
      </c>
      <c r="E1163">
        <v>1</v>
      </c>
      <c r="F1163">
        <v>11.39</v>
      </c>
      <c r="G1163" s="6" t="s">
        <v>1344</v>
      </c>
      <c r="H1163" s="6" t="s">
        <v>65</v>
      </c>
      <c r="I1163" s="6" t="s">
        <v>35</v>
      </c>
      <c r="J1163" s="6" t="s">
        <v>4152</v>
      </c>
      <c r="K1163">
        <v>6</v>
      </c>
      <c r="L1163" s="6" t="s">
        <v>81</v>
      </c>
      <c r="M1163" s="6" t="s">
        <v>38</v>
      </c>
      <c r="N1163">
        <v>11.39</v>
      </c>
    </row>
    <row r="1164" spans="1:14" x14ac:dyDescent="0.35">
      <c r="A1164" s="6" t="s">
        <v>4153</v>
      </c>
      <c r="B1164" s="7">
        <v>45727</v>
      </c>
      <c r="C1164" s="6" t="s">
        <v>4154</v>
      </c>
      <c r="D1164" s="6" t="s">
        <v>25</v>
      </c>
      <c r="E1164">
        <v>2</v>
      </c>
      <c r="F1164">
        <v>224.37</v>
      </c>
      <c r="G1164" s="6" t="s">
        <v>4155</v>
      </c>
      <c r="H1164" s="6" t="s">
        <v>18</v>
      </c>
      <c r="I1164" s="6" t="s">
        <v>50</v>
      </c>
      <c r="J1164" s="6" t="s">
        <v>4156</v>
      </c>
      <c r="K1164">
        <v>3</v>
      </c>
      <c r="L1164" s="6" t="s">
        <v>81</v>
      </c>
      <c r="M1164" s="6" t="s">
        <v>29</v>
      </c>
      <c r="N1164">
        <v>448.74</v>
      </c>
    </row>
    <row r="1165" spans="1:14" x14ac:dyDescent="0.35">
      <c r="A1165" s="6" t="s">
        <v>4157</v>
      </c>
      <c r="B1165" s="7">
        <v>45454</v>
      </c>
      <c r="C1165" s="6" t="s">
        <v>4158</v>
      </c>
      <c r="D1165" s="6" t="s">
        <v>58</v>
      </c>
      <c r="E1165">
        <v>3</v>
      </c>
      <c r="F1165">
        <v>306.29000000000002</v>
      </c>
      <c r="G1165" s="6" t="s">
        <v>4159</v>
      </c>
      <c r="H1165" s="6" t="s">
        <v>34</v>
      </c>
      <c r="I1165" s="6" t="s">
        <v>43</v>
      </c>
      <c r="J1165" s="6" t="s">
        <v>4160</v>
      </c>
      <c r="K1165">
        <v>7</v>
      </c>
      <c r="L1165" s="6" t="s">
        <v>81</v>
      </c>
      <c r="M1165" s="6" t="s">
        <v>22</v>
      </c>
      <c r="N1165">
        <v>918.87</v>
      </c>
    </row>
    <row r="1166" spans="1:14" x14ac:dyDescent="0.35">
      <c r="A1166" s="6" t="s">
        <v>4161</v>
      </c>
      <c r="B1166" s="7">
        <v>45299</v>
      </c>
      <c r="C1166" s="6" t="s">
        <v>4162</v>
      </c>
      <c r="D1166" s="6" t="s">
        <v>32</v>
      </c>
      <c r="E1166">
        <v>5</v>
      </c>
      <c r="F1166">
        <v>315.57</v>
      </c>
      <c r="G1166" s="6" t="s">
        <v>2197</v>
      </c>
      <c r="H1166" s="6" t="s">
        <v>18</v>
      </c>
      <c r="I1166" s="6" t="s">
        <v>50</v>
      </c>
      <c r="J1166" s="6" t="s">
        <v>4163</v>
      </c>
      <c r="K1166">
        <v>6</v>
      </c>
      <c r="L1166" s="6" t="s">
        <v>81</v>
      </c>
      <c r="M1166" s="6" t="s">
        <v>38</v>
      </c>
      <c r="N1166">
        <v>1577.85</v>
      </c>
    </row>
    <row r="1167" spans="1:14" x14ac:dyDescent="0.35">
      <c r="A1167" s="6" t="s">
        <v>4164</v>
      </c>
      <c r="B1167" s="7">
        <v>45121</v>
      </c>
      <c r="C1167" s="6" t="s">
        <v>4165</v>
      </c>
      <c r="D1167" s="6" t="s">
        <v>41</v>
      </c>
      <c r="E1167">
        <v>3</v>
      </c>
      <c r="F1167">
        <v>223.79</v>
      </c>
      <c r="G1167" s="6" t="s">
        <v>4166</v>
      </c>
      <c r="H1167" s="6" t="s">
        <v>18</v>
      </c>
      <c r="I1167" s="6" t="s">
        <v>89</v>
      </c>
      <c r="J1167" s="6" t="s">
        <v>4167</v>
      </c>
      <c r="K1167">
        <v>3</v>
      </c>
      <c r="L1167" s="6" t="s">
        <v>4283</v>
      </c>
      <c r="M1167" s="6" t="s">
        <v>76</v>
      </c>
      <c r="N1167">
        <v>671.37</v>
      </c>
    </row>
    <row r="1168" spans="1:14" x14ac:dyDescent="0.35">
      <c r="A1168" s="6" t="s">
        <v>4168</v>
      </c>
      <c r="B1168" s="7">
        <v>45138</v>
      </c>
      <c r="C1168" s="6" t="s">
        <v>4169</v>
      </c>
      <c r="D1168" s="6" t="s">
        <v>41</v>
      </c>
      <c r="E1168">
        <v>3</v>
      </c>
      <c r="F1168">
        <v>324.47000000000003</v>
      </c>
      <c r="G1168" s="6" t="s">
        <v>363</v>
      </c>
      <c r="H1168" s="6" t="s">
        <v>65</v>
      </c>
      <c r="I1168" s="6" t="s">
        <v>50</v>
      </c>
      <c r="J1168" s="6" t="s">
        <v>4170</v>
      </c>
      <c r="K1168">
        <v>4</v>
      </c>
      <c r="L1168" s="6" t="s">
        <v>81</v>
      </c>
      <c r="M1168" s="6" t="s">
        <v>38</v>
      </c>
      <c r="N1168">
        <v>973.41</v>
      </c>
    </row>
    <row r="1169" spans="1:14" x14ac:dyDescent="0.35">
      <c r="A1169" s="6" t="s">
        <v>4171</v>
      </c>
      <c r="B1169" s="7">
        <v>45216</v>
      </c>
      <c r="C1169" s="6" t="s">
        <v>4172</v>
      </c>
      <c r="D1169" s="6" t="s">
        <v>48</v>
      </c>
      <c r="E1169">
        <v>2</v>
      </c>
      <c r="F1169">
        <v>92.87</v>
      </c>
      <c r="G1169" s="6" t="s">
        <v>1101</v>
      </c>
      <c r="H1169" s="6" t="s">
        <v>34</v>
      </c>
      <c r="I1169" s="6" t="s">
        <v>89</v>
      </c>
      <c r="J1169" s="6" t="s">
        <v>4173</v>
      </c>
      <c r="K1169">
        <v>5</v>
      </c>
      <c r="L1169" s="6" t="s">
        <v>37</v>
      </c>
      <c r="M1169" s="6" t="s">
        <v>45</v>
      </c>
      <c r="N1169">
        <v>185.74</v>
      </c>
    </row>
    <row r="1170" spans="1:14" x14ac:dyDescent="0.35">
      <c r="A1170" s="6" t="s">
        <v>4174</v>
      </c>
      <c r="B1170" s="7">
        <v>45024</v>
      </c>
      <c r="C1170" s="6" t="s">
        <v>4175</v>
      </c>
      <c r="D1170" s="6" t="s">
        <v>58</v>
      </c>
      <c r="E1170">
        <v>2</v>
      </c>
      <c r="F1170">
        <v>331.42</v>
      </c>
      <c r="G1170" s="6" t="s">
        <v>4176</v>
      </c>
      <c r="H1170" s="6" t="s">
        <v>34</v>
      </c>
      <c r="I1170" s="6" t="s">
        <v>50</v>
      </c>
      <c r="J1170" s="6" t="s">
        <v>4177</v>
      </c>
      <c r="K1170">
        <v>6</v>
      </c>
      <c r="L1170" s="6" t="s">
        <v>81</v>
      </c>
      <c r="M1170" s="6" t="s">
        <v>76</v>
      </c>
      <c r="N1170">
        <v>662.84</v>
      </c>
    </row>
    <row r="1171" spans="1:14" x14ac:dyDescent="0.35">
      <c r="A1171" s="6" t="s">
        <v>4178</v>
      </c>
      <c r="B1171" s="7">
        <v>45649</v>
      </c>
      <c r="C1171" s="6" t="s">
        <v>4179</v>
      </c>
      <c r="D1171" s="6" t="s">
        <v>41</v>
      </c>
      <c r="E1171">
        <v>1</v>
      </c>
      <c r="F1171">
        <v>525.42999999999995</v>
      </c>
      <c r="G1171" s="6" t="s">
        <v>4180</v>
      </c>
      <c r="H1171" s="6" t="s">
        <v>65</v>
      </c>
      <c r="I1171" s="6" t="s">
        <v>35</v>
      </c>
      <c r="J1171" s="6" t="s">
        <v>4181</v>
      </c>
      <c r="K1171">
        <v>2</v>
      </c>
      <c r="L1171" s="6" t="s">
        <v>21</v>
      </c>
      <c r="M1171" s="6" t="s">
        <v>22</v>
      </c>
      <c r="N1171">
        <v>525.42999999999995</v>
      </c>
    </row>
    <row r="1172" spans="1:14" x14ac:dyDescent="0.35">
      <c r="A1172" s="6" t="s">
        <v>4182</v>
      </c>
      <c r="B1172" s="7">
        <v>45141</v>
      </c>
      <c r="C1172" s="6" t="s">
        <v>4183</v>
      </c>
      <c r="D1172" s="6" t="s">
        <v>48</v>
      </c>
      <c r="E1172">
        <v>2</v>
      </c>
      <c r="F1172">
        <v>697.19</v>
      </c>
      <c r="G1172" s="6" t="s">
        <v>925</v>
      </c>
      <c r="H1172" s="6" t="s">
        <v>65</v>
      </c>
      <c r="I1172" s="6" t="s">
        <v>43</v>
      </c>
      <c r="J1172" s="6" t="s">
        <v>4184</v>
      </c>
      <c r="K1172">
        <v>7</v>
      </c>
      <c r="L1172" s="6" t="s">
        <v>37</v>
      </c>
      <c r="M1172" s="6" t="s">
        <v>38</v>
      </c>
      <c r="N1172">
        <v>1394.38</v>
      </c>
    </row>
    <row r="1173" spans="1:14" x14ac:dyDescent="0.35">
      <c r="A1173" s="6" t="s">
        <v>4185</v>
      </c>
      <c r="B1173" s="7">
        <v>45166</v>
      </c>
      <c r="C1173" s="6" t="s">
        <v>4186</v>
      </c>
      <c r="D1173" s="6" t="s">
        <v>25</v>
      </c>
      <c r="E1173">
        <v>4</v>
      </c>
      <c r="F1173">
        <v>518.4</v>
      </c>
      <c r="G1173" s="6" t="s">
        <v>4187</v>
      </c>
      <c r="H1173" s="6" t="s">
        <v>34</v>
      </c>
      <c r="I1173" s="6" t="s">
        <v>50</v>
      </c>
      <c r="J1173" s="6" t="s">
        <v>4188</v>
      </c>
      <c r="K1173">
        <v>7</v>
      </c>
      <c r="L1173" s="6" t="s">
        <v>21</v>
      </c>
      <c r="M1173" s="6" t="s">
        <v>45</v>
      </c>
      <c r="N1173">
        <v>2073.6</v>
      </c>
    </row>
    <row r="1174" spans="1:14" x14ac:dyDescent="0.35">
      <c r="A1174" s="6" t="s">
        <v>4189</v>
      </c>
      <c r="B1174" s="7">
        <v>45692</v>
      </c>
      <c r="C1174" s="6" t="s">
        <v>4190</v>
      </c>
      <c r="D1174" s="6" t="s">
        <v>73</v>
      </c>
      <c r="E1174">
        <v>3</v>
      </c>
      <c r="F1174">
        <v>131.96</v>
      </c>
      <c r="G1174" s="6" t="s">
        <v>1930</v>
      </c>
      <c r="H1174" s="6" t="s">
        <v>34</v>
      </c>
      <c r="I1174" s="6" t="s">
        <v>89</v>
      </c>
      <c r="J1174" s="6" t="s">
        <v>4191</v>
      </c>
      <c r="K1174">
        <v>8</v>
      </c>
      <c r="L1174" s="6" t="s">
        <v>4283</v>
      </c>
      <c r="M1174" s="6" t="s">
        <v>22</v>
      </c>
      <c r="N1174">
        <v>395.88</v>
      </c>
    </row>
    <row r="1175" spans="1:14" x14ac:dyDescent="0.35">
      <c r="A1175" s="6" t="s">
        <v>4192</v>
      </c>
      <c r="B1175" s="7">
        <v>45569</v>
      </c>
      <c r="C1175" s="6" t="s">
        <v>4193</v>
      </c>
      <c r="D1175" s="6" t="s">
        <v>16</v>
      </c>
      <c r="E1175">
        <v>1</v>
      </c>
      <c r="F1175">
        <v>208.36</v>
      </c>
      <c r="G1175" s="6" t="s">
        <v>2676</v>
      </c>
      <c r="H1175" s="6" t="s">
        <v>27</v>
      </c>
      <c r="I1175" s="6" t="s">
        <v>19</v>
      </c>
      <c r="J1175" s="6" t="s">
        <v>4194</v>
      </c>
      <c r="K1175">
        <v>4</v>
      </c>
      <c r="L1175" s="6" t="s">
        <v>37</v>
      </c>
      <c r="M1175" s="6" t="s">
        <v>38</v>
      </c>
      <c r="N1175">
        <v>208.36</v>
      </c>
    </row>
    <row r="1176" spans="1:14" x14ac:dyDescent="0.35">
      <c r="A1176" s="6" t="s">
        <v>4195</v>
      </c>
      <c r="B1176" s="7">
        <v>45257</v>
      </c>
      <c r="C1176" s="6" t="s">
        <v>4196</v>
      </c>
      <c r="D1176" s="6" t="s">
        <v>48</v>
      </c>
      <c r="E1176">
        <v>3</v>
      </c>
      <c r="F1176">
        <v>222.34</v>
      </c>
      <c r="G1176" s="6" t="s">
        <v>4197</v>
      </c>
      <c r="H1176" s="6" t="s">
        <v>34</v>
      </c>
      <c r="I1176" s="6" t="s">
        <v>43</v>
      </c>
      <c r="J1176" s="6" t="s">
        <v>4198</v>
      </c>
      <c r="K1176">
        <v>5</v>
      </c>
      <c r="L1176" s="6" t="s">
        <v>81</v>
      </c>
      <c r="M1176" s="6" t="s">
        <v>38</v>
      </c>
      <c r="N1176">
        <v>667.02</v>
      </c>
    </row>
    <row r="1177" spans="1:14" x14ac:dyDescent="0.35">
      <c r="A1177" s="6" t="s">
        <v>4199</v>
      </c>
      <c r="B1177" s="7">
        <v>45545</v>
      </c>
      <c r="C1177" s="6" t="s">
        <v>4200</v>
      </c>
      <c r="D1177" s="6" t="s">
        <v>48</v>
      </c>
      <c r="E1177">
        <v>3</v>
      </c>
      <c r="F1177">
        <v>91.74</v>
      </c>
      <c r="G1177" s="6" t="s">
        <v>1206</v>
      </c>
      <c r="H1177" s="6" t="s">
        <v>18</v>
      </c>
      <c r="I1177" s="6" t="s">
        <v>43</v>
      </c>
      <c r="J1177" s="6" t="s">
        <v>4201</v>
      </c>
      <c r="K1177">
        <v>8</v>
      </c>
      <c r="L1177" s="6" t="s">
        <v>37</v>
      </c>
      <c r="M1177" s="6" t="s">
        <v>29</v>
      </c>
      <c r="N1177">
        <v>275.22000000000003</v>
      </c>
    </row>
    <row r="1178" spans="1:14" x14ac:dyDescent="0.35">
      <c r="A1178" s="6" t="s">
        <v>4202</v>
      </c>
      <c r="B1178" s="7">
        <v>45151</v>
      </c>
      <c r="C1178" s="6" t="s">
        <v>4203</v>
      </c>
      <c r="D1178" s="6" t="s">
        <v>32</v>
      </c>
      <c r="E1178">
        <v>2</v>
      </c>
      <c r="F1178">
        <v>213.83</v>
      </c>
      <c r="G1178" s="6" t="s">
        <v>4204</v>
      </c>
      <c r="H1178" s="6" t="s">
        <v>18</v>
      </c>
      <c r="I1178" s="6" t="s">
        <v>35</v>
      </c>
      <c r="J1178" s="6" t="s">
        <v>4205</v>
      </c>
      <c r="K1178">
        <v>2</v>
      </c>
      <c r="L1178" s="6" t="s">
        <v>81</v>
      </c>
      <c r="M1178" s="6" t="s">
        <v>38</v>
      </c>
      <c r="N1178">
        <v>427.66</v>
      </c>
    </row>
    <row r="1179" spans="1:14" x14ac:dyDescent="0.35">
      <c r="A1179" s="6" t="s">
        <v>4206</v>
      </c>
      <c r="B1179" s="7">
        <v>45043</v>
      </c>
      <c r="C1179" s="6" t="s">
        <v>4207</v>
      </c>
      <c r="D1179" s="6" t="s">
        <v>48</v>
      </c>
      <c r="E1179">
        <v>1</v>
      </c>
      <c r="F1179">
        <v>127.55</v>
      </c>
      <c r="G1179" s="6" t="s">
        <v>1670</v>
      </c>
      <c r="H1179" s="6" t="s">
        <v>65</v>
      </c>
      <c r="I1179" s="6" t="s">
        <v>19</v>
      </c>
      <c r="J1179" s="6" t="s">
        <v>4208</v>
      </c>
      <c r="K1179">
        <v>3</v>
      </c>
      <c r="L1179" s="6" t="s">
        <v>21</v>
      </c>
      <c r="M1179" s="6" t="s">
        <v>29</v>
      </c>
      <c r="N1179">
        <v>127.55</v>
      </c>
    </row>
    <row r="1180" spans="1:14" x14ac:dyDescent="0.35">
      <c r="A1180" s="6" t="s">
        <v>4209</v>
      </c>
      <c r="B1180" s="7">
        <v>45543</v>
      </c>
      <c r="C1180" s="6" t="s">
        <v>4210</v>
      </c>
      <c r="D1180" s="6" t="s">
        <v>16</v>
      </c>
      <c r="E1180">
        <v>1</v>
      </c>
      <c r="F1180">
        <v>70.239999999999995</v>
      </c>
      <c r="G1180" s="6" t="s">
        <v>964</v>
      </c>
      <c r="H1180" s="6" t="s">
        <v>34</v>
      </c>
      <c r="I1180" s="6" t="s">
        <v>35</v>
      </c>
      <c r="J1180" s="6" t="s">
        <v>4211</v>
      </c>
      <c r="K1180">
        <v>4</v>
      </c>
      <c r="L1180" s="6" t="s">
        <v>37</v>
      </c>
      <c r="M1180" s="6" t="s">
        <v>76</v>
      </c>
      <c r="N1180">
        <v>70.239999999999995</v>
      </c>
    </row>
    <row r="1181" spans="1:14" x14ac:dyDescent="0.35">
      <c r="A1181" s="6" t="s">
        <v>4212</v>
      </c>
      <c r="B1181" s="7">
        <v>44934</v>
      </c>
      <c r="C1181" s="6" t="s">
        <v>4213</v>
      </c>
      <c r="D1181" s="6" t="s">
        <v>58</v>
      </c>
      <c r="E1181">
        <v>5</v>
      </c>
      <c r="F1181">
        <v>518.54999999999995</v>
      </c>
      <c r="G1181" s="6" t="s">
        <v>1408</v>
      </c>
      <c r="H1181" s="6" t="s">
        <v>34</v>
      </c>
      <c r="I1181" s="6" t="s">
        <v>35</v>
      </c>
      <c r="J1181" s="6" t="s">
        <v>4214</v>
      </c>
      <c r="K1181">
        <v>6</v>
      </c>
      <c r="L1181" s="6" t="s">
        <v>81</v>
      </c>
      <c r="M1181" s="6" t="s">
        <v>22</v>
      </c>
      <c r="N1181">
        <v>2592.75</v>
      </c>
    </row>
    <row r="1182" spans="1:14" x14ac:dyDescent="0.35">
      <c r="A1182" s="6" t="s">
        <v>4215</v>
      </c>
      <c r="B1182" s="7">
        <v>45230</v>
      </c>
      <c r="C1182" s="6" t="s">
        <v>4216</v>
      </c>
      <c r="D1182" s="6" t="s">
        <v>41</v>
      </c>
      <c r="E1182">
        <v>4</v>
      </c>
      <c r="F1182">
        <v>298.36</v>
      </c>
      <c r="G1182" s="6" t="s">
        <v>2029</v>
      </c>
      <c r="H1182" s="6" t="s">
        <v>18</v>
      </c>
      <c r="I1182" s="6" t="s">
        <v>89</v>
      </c>
      <c r="J1182" s="6" t="s">
        <v>4217</v>
      </c>
      <c r="K1182">
        <v>8</v>
      </c>
      <c r="L1182" s="6" t="s">
        <v>37</v>
      </c>
      <c r="M1182" s="6" t="s">
        <v>76</v>
      </c>
      <c r="N1182">
        <v>1193.44</v>
      </c>
    </row>
    <row r="1183" spans="1:14" x14ac:dyDescent="0.35">
      <c r="A1183" s="6" t="s">
        <v>4218</v>
      </c>
      <c r="B1183" s="7">
        <v>45134</v>
      </c>
      <c r="C1183" s="6" t="s">
        <v>4219</v>
      </c>
      <c r="D1183" s="6" t="s">
        <v>73</v>
      </c>
      <c r="E1183">
        <v>3</v>
      </c>
      <c r="F1183">
        <v>158.74</v>
      </c>
      <c r="G1183" s="6" t="s">
        <v>1348</v>
      </c>
      <c r="H1183" s="6" t="s">
        <v>27</v>
      </c>
      <c r="I1183" s="6" t="s">
        <v>89</v>
      </c>
      <c r="J1183" s="6" t="s">
        <v>4220</v>
      </c>
      <c r="K1183">
        <v>7</v>
      </c>
      <c r="L1183" s="6" t="s">
        <v>37</v>
      </c>
      <c r="M1183" s="6" t="s">
        <v>22</v>
      </c>
      <c r="N1183">
        <v>476.22</v>
      </c>
    </row>
    <row r="1184" spans="1:14" x14ac:dyDescent="0.35">
      <c r="A1184" s="6" t="s">
        <v>4221</v>
      </c>
      <c r="B1184" s="7">
        <v>45822</v>
      </c>
      <c r="C1184" s="6" t="s">
        <v>4222</v>
      </c>
      <c r="D1184" s="6" t="s">
        <v>41</v>
      </c>
      <c r="E1184">
        <v>2</v>
      </c>
      <c r="F1184">
        <v>420.29</v>
      </c>
      <c r="G1184" s="6" t="s">
        <v>2257</v>
      </c>
      <c r="H1184" s="6" t="s">
        <v>60</v>
      </c>
      <c r="I1184" s="6" t="s">
        <v>43</v>
      </c>
      <c r="J1184" s="6" t="s">
        <v>4223</v>
      </c>
      <c r="K1184">
        <v>3</v>
      </c>
      <c r="L1184" s="6" t="s">
        <v>21</v>
      </c>
      <c r="M1184" s="6" t="s">
        <v>76</v>
      </c>
      <c r="N1184">
        <v>840.58</v>
      </c>
    </row>
    <row r="1185" spans="1:14" x14ac:dyDescent="0.35">
      <c r="A1185" s="6" t="s">
        <v>4224</v>
      </c>
      <c r="B1185" s="7">
        <v>45021</v>
      </c>
      <c r="C1185" s="6" t="s">
        <v>4225</v>
      </c>
      <c r="D1185" s="6" t="s">
        <v>73</v>
      </c>
      <c r="E1185">
        <v>1</v>
      </c>
      <c r="F1185">
        <v>281.52</v>
      </c>
      <c r="G1185" s="6" t="s">
        <v>1047</v>
      </c>
      <c r="H1185" s="6" t="s">
        <v>60</v>
      </c>
      <c r="I1185" s="6" t="s">
        <v>19</v>
      </c>
      <c r="J1185" s="6" t="s">
        <v>4226</v>
      </c>
      <c r="K1185">
        <v>6</v>
      </c>
      <c r="L1185" s="6" t="s">
        <v>81</v>
      </c>
      <c r="M1185" s="6" t="s">
        <v>29</v>
      </c>
      <c r="N1185">
        <v>281.52</v>
      </c>
    </row>
    <row r="1186" spans="1:14" x14ac:dyDescent="0.35">
      <c r="A1186" s="6" t="s">
        <v>4227</v>
      </c>
      <c r="B1186" s="7">
        <v>45196</v>
      </c>
      <c r="C1186" s="6" t="s">
        <v>4228</v>
      </c>
      <c r="D1186" s="6" t="s">
        <v>58</v>
      </c>
      <c r="E1186">
        <v>1</v>
      </c>
      <c r="F1186">
        <v>204.08</v>
      </c>
      <c r="G1186" s="6" t="s">
        <v>3007</v>
      </c>
      <c r="H1186" s="6" t="s">
        <v>60</v>
      </c>
      <c r="I1186" s="6" t="s">
        <v>43</v>
      </c>
      <c r="J1186" s="6" t="s">
        <v>4229</v>
      </c>
      <c r="K1186">
        <v>4</v>
      </c>
      <c r="L1186" s="6" t="s">
        <v>4283</v>
      </c>
      <c r="M1186" s="6" t="s">
        <v>76</v>
      </c>
      <c r="N1186">
        <v>204.08</v>
      </c>
    </row>
    <row r="1187" spans="1:14" x14ac:dyDescent="0.35">
      <c r="A1187" s="6" t="s">
        <v>4230</v>
      </c>
      <c r="B1187" s="7">
        <v>45481</v>
      </c>
      <c r="C1187" s="6" t="s">
        <v>4231</v>
      </c>
      <c r="D1187" s="6" t="s">
        <v>41</v>
      </c>
      <c r="E1187">
        <v>1</v>
      </c>
      <c r="F1187">
        <v>343.31</v>
      </c>
      <c r="G1187" s="6" t="s">
        <v>4232</v>
      </c>
      <c r="H1187" s="6" t="s">
        <v>60</v>
      </c>
      <c r="I1187" s="6" t="s">
        <v>43</v>
      </c>
      <c r="J1187" s="6" t="s">
        <v>4233</v>
      </c>
      <c r="K1187">
        <v>6</v>
      </c>
      <c r="L1187" s="6" t="s">
        <v>21</v>
      </c>
      <c r="M1187" s="6" t="s">
        <v>76</v>
      </c>
      <c r="N1187">
        <v>343.31</v>
      </c>
    </row>
    <row r="1188" spans="1:14" x14ac:dyDescent="0.35">
      <c r="A1188" s="6" t="s">
        <v>4234</v>
      </c>
      <c r="B1188" s="7">
        <v>45248</v>
      </c>
      <c r="C1188" s="6" t="s">
        <v>4235</v>
      </c>
      <c r="D1188" s="6" t="s">
        <v>16</v>
      </c>
      <c r="E1188">
        <v>1</v>
      </c>
      <c r="F1188">
        <v>163.32</v>
      </c>
      <c r="G1188" s="6" t="s">
        <v>4236</v>
      </c>
      <c r="H1188" s="6" t="s">
        <v>65</v>
      </c>
      <c r="I1188" s="6" t="s">
        <v>19</v>
      </c>
      <c r="J1188" s="6" t="s">
        <v>4237</v>
      </c>
      <c r="K1188">
        <v>6</v>
      </c>
      <c r="L1188" s="6" t="s">
        <v>81</v>
      </c>
      <c r="M1188" s="6" t="s">
        <v>45</v>
      </c>
      <c r="N1188">
        <v>163.32</v>
      </c>
    </row>
    <row r="1189" spans="1:14" x14ac:dyDescent="0.35">
      <c r="A1189" s="6" t="s">
        <v>4238</v>
      </c>
      <c r="B1189" s="7">
        <v>45364</v>
      </c>
      <c r="C1189" s="6" t="s">
        <v>4239</v>
      </c>
      <c r="D1189" s="6" t="s">
        <v>73</v>
      </c>
      <c r="E1189">
        <v>2</v>
      </c>
      <c r="F1189">
        <v>184.6</v>
      </c>
      <c r="G1189" s="6" t="s">
        <v>952</v>
      </c>
      <c r="H1189" s="6" t="s">
        <v>60</v>
      </c>
      <c r="I1189" s="6" t="s">
        <v>50</v>
      </c>
      <c r="J1189" s="6" t="s">
        <v>4240</v>
      </c>
      <c r="K1189">
        <v>7</v>
      </c>
      <c r="L1189" s="6" t="s">
        <v>81</v>
      </c>
      <c r="M1189" s="6" t="s">
        <v>38</v>
      </c>
      <c r="N1189">
        <v>369.2</v>
      </c>
    </row>
    <row r="1190" spans="1:14" x14ac:dyDescent="0.35">
      <c r="A1190" s="6" t="s">
        <v>4241</v>
      </c>
      <c r="B1190" s="7">
        <v>45206</v>
      </c>
      <c r="C1190" s="6" t="s">
        <v>4242</v>
      </c>
      <c r="D1190" s="6" t="s">
        <v>48</v>
      </c>
      <c r="E1190">
        <v>2</v>
      </c>
      <c r="F1190">
        <v>371.29</v>
      </c>
      <c r="G1190" s="6" t="s">
        <v>4243</v>
      </c>
      <c r="H1190" s="6" t="s">
        <v>60</v>
      </c>
      <c r="I1190" s="6" t="s">
        <v>19</v>
      </c>
      <c r="J1190" s="6" t="s">
        <v>4244</v>
      </c>
      <c r="K1190">
        <v>5</v>
      </c>
      <c r="L1190" s="6" t="s">
        <v>81</v>
      </c>
      <c r="M1190" s="6" t="s">
        <v>45</v>
      </c>
      <c r="N1190">
        <v>742.58</v>
      </c>
    </row>
    <row r="1191" spans="1:14" x14ac:dyDescent="0.35">
      <c r="A1191" s="6" t="s">
        <v>4245</v>
      </c>
      <c r="B1191" s="7">
        <v>45521</v>
      </c>
      <c r="C1191" s="6" t="s">
        <v>4246</v>
      </c>
      <c r="D1191" s="6" t="s">
        <v>32</v>
      </c>
      <c r="E1191">
        <v>5</v>
      </c>
      <c r="F1191">
        <v>389.22</v>
      </c>
      <c r="G1191" s="6" t="s">
        <v>4247</v>
      </c>
      <c r="H1191" s="6" t="s">
        <v>65</v>
      </c>
      <c r="I1191" s="6" t="s">
        <v>35</v>
      </c>
      <c r="J1191" s="6" t="s">
        <v>4248</v>
      </c>
      <c r="K1191">
        <v>7</v>
      </c>
      <c r="L1191" s="6" t="s">
        <v>4283</v>
      </c>
      <c r="M1191" s="6" t="s">
        <v>29</v>
      </c>
      <c r="N1191">
        <v>1946.1</v>
      </c>
    </row>
    <row r="1192" spans="1:14" x14ac:dyDescent="0.35">
      <c r="A1192" s="6" t="s">
        <v>4249</v>
      </c>
      <c r="B1192" s="7">
        <v>45816</v>
      </c>
      <c r="C1192" s="6" t="s">
        <v>4250</v>
      </c>
      <c r="D1192" s="6" t="s">
        <v>73</v>
      </c>
      <c r="E1192">
        <v>3</v>
      </c>
      <c r="F1192">
        <v>616.39</v>
      </c>
      <c r="G1192" s="6" t="s">
        <v>4251</v>
      </c>
      <c r="H1192" s="6" t="s">
        <v>34</v>
      </c>
      <c r="I1192" s="6" t="s">
        <v>19</v>
      </c>
      <c r="J1192" s="6" t="s">
        <v>4252</v>
      </c>
      <c r="K1192">
        <v>6</v>
      </c>
      <c r="L1192" s="6" t="s">
        <v>37</v>
      </c>
      <c r="M1192" s="6" t="s">
        <v>22</v>
      </c>
      <c r="N1192">
        <v>1849.17</v>
      </c>
    </row>
    <row r="1193" spans="1:14" x14ac:dyDescent="0.35">
      <c r="A1193" s="6" t="s">
        <v>4253</v>
      </c>
      <c r="B1193" s="7">
        <v>45698</v>
      </c>
      <c r="C1193" s="6" t="s">
        <v>4254</v>
      </c>
      <c r="D1193" s="6" t="s">
        <v>73</v>
      </c>
      <c r="E1193">
        <v>4</v>
      </c>
      <c r="F1193">
        <v>376.43</v>
      </c>
      <c r="G1193" s="6" t="s">
        <v>2298</v>
      </c>
      <c r="H1193" s="6" t="s">
        <v>60</v>
      </c>
      <c r="I1193" s="6" t="s">
        <v>89</v>
      </c>
      <c r="J1193" s="6" t="s">
        <v>4255</v>
      </c>
      <c r="K1193">
        <v>5</v>
      </c>
      <c r="L1193" s="6" t="s">
        <v>81</v>
      </c>
      <c r="M1193" s="6" t="s">
        <v>22</v>
      </c>
      <c r="N1193">
        <v>1505.72</v>
      </c>
    </row>
    <row r="1194" spans="1:14" x14ac:dyDescent="0.35">
      <c r="A1194" s="6" t="s">
        <v>4256</v>
      </c>
      <c r="B1194" s="7">
        <v>45350</v>
      </c>
      <c r="C1194" s="6" t="s">
        <v>4257</v>
      </c>
      <c r="D1194" s="6" t="s">
        <v>41</v>
      </c>
      <c r="E1194">
        <v>3</v>
      </c>
      <c r="F1194">
        <v>432.85</v>
      </c>
      <c r="G1194" s="6" t="s">
        <v>845</v>
      </c>
      <c r="H1194" s="6" t="s">
        <v>27</v>
      </c>
      <c r="I1194" s="6" t="s">
        <v>89</v>
      </c>
      <c r="J1194" s="6" t="s">
        <v>4258</v>
      </c>
      <c r="K1194">
        <v>4</v>
      </c>
      <c r="L1194" s="6" t="s">
        <v>4283</v>
      </c>
      <c r="M1194" s="6" t="s">
        <v>22</v>
      </c>
      <c r="N1194">
        <v>1298.55</v>
      </c>
    </row>
    <row r="1195" spans="1:14" x14ac:dyDescent="0.35">
      <c r="A1195" s="6" t="s">
        <v>4259</v>
      </c>
      <c r="B1195" s="7">
        <v>45824</v>
      </c>
      <c r="C1195" s="6" t="s">
        <v>4260</v>
      </c>
      <c r="D1195" s="6" t="s">
        <v>32</v>
      </c>
      <c r="E1195">
        <v>1</v>
      </c>
      <c r="F1195">
        <v>687.89</v>
      </c>
      <c r="G1195" s="6" t="s">
        <v>343</v>
      </c>
      <c r="H1195" s="6" t="s">
        <v>65</v>
      </c>
      <c r="I1195" s="6" t="s">
        <v>43</v>
      </c>
      <c r="J1195" s="6" t="s">
        <v>4261</v>
      </c>
      <c r="K1195">
        <v>1</v>
      </c>
      <c r="L1195" s="6" t="s">
        <v>37</v>
      </c>
      <c r="M1195" s="6" t="s">
        <v>38</v>
      </c>
      <c r="N1195">
        <v>687.89</v>
      </c>
    </row>
    <row r="1196" spans="1:14" x14ac:dyDescent="0.35">
      <c r="A1196" s="6" t="s">
        <v>4262</v>
      </c>
      <c r="B1196" s="7">
        <v>45249</v>
      </c>
      <c r="C1196" s="6" t="s">
        <v>4263</v>
      </c>
      <c r="D1196" s="6" t="s">
        <v>48</v>
      </c>
      <c r="E1196">
        <v>3</v>
      </c>
      <c r="F1196">
        <v>189.44</v>
      </c>
      <c r="G1196" s="6" t="s">
        <v>783</v>
      </c>
      <c r="H1196" s="6" t="s">
        <v>65</v>
      </c>
      <c r="I1196" s="6" t="s">
        <v>89</v>
      </c>
      <c r="J1196" s="6" t="s">
        <v>4264</v>
      </c>
      <c r="K1196">
        <v>4</v>
      </c>
      <c r="L1196" s="6" t="s">
        <v>37</v>
      </c>
      <c r="M1196" s="6" t="s">
        <v>38</v>
      </c>
      <c r="N1196">
        <v>568.32000000000005</v>
      </c>
    </row>
    <row r="1197" spans="1:14" x14ac:dyDescent="0.35">
      <c r="A1197" s="6" t="s">
        <v>4265</v>
      </c>
      <c r="B1197" s="7">
        <v>45463</v>
      </c>
      <c r="C1197" s="6" t="s">
        <v>4266</v>
      </c>
      <c r="D1197" s="6" t="s">
        <v>73</v>
      </c>
      <c r="E1197">
        <v>1</v>
      </c>
      <c r="F1197">
        <v>107.04</v>
      </c>
      <c r="G1197" s="6" t="s">
        <v>4267</v>
      </c>
      <c r="H1197" s="6" t="s">
        <v>34</v>
      </c>
      <c r="I1197" s="6" t="s">
        <v>35</v>
      </c>
      <c r="J1197" s="6" t="s">
        <v>4268</v>
      </c>
      <c r="K1197">
        <v>6</v>
      </c>
      <c r="L1197" s="6" t="s">
        <v>37</v>
      </c>
      <c r="M1197" s="6" t="s">
        <v>76</v>
      </c>
      <c r="N1197">
        <v>107.04</v>
      </c>
    </row>
    <row r="1198" spans="1:14" x14ac:dyDescent="0.35">
      <c r="A1198" s="6" t="s">
        <v>4269</v>
      </c>
      <c r="B1198" s="7">
        <v>45355</v>
      </c>
      <c r="C1198" s="6" t="s">
        <v>4270</v>
      </c>
      <c r="D1198" s="6" t="s">
        <v>16</v>
      </c>
      <c r="E1198">
        <v>2</v>
      </c>
      <c r="F1198">
        <v>662.53</v>
      </c>
      <c r="G1198" s="6" t="s">
        <v>1549</v>
      </c>
      <c r="H1198" s="6" t="s">
        <v>27</v>
      </c>
      <c r="I1198" s="6" t="s">
        <v>35</v>
      </c>
      <c r="J1198" s="6" t="s">
        <v>4271</v>
      </c>
      <c r="K1198">
        <v>5</v>
      </c>
      <c r="L1198" s="6" t="s">
        <v>4283</v>
      </c>
      <c r="M1198" s="6" t="s">
        <v>45</v>
      </c>
      <c r="N1198">
        <v>1325.06</v>
      </c>
    </row>
    <row r="1199" spans="1:14" x14ac:dyDescent="0.35">
      <c r="A1199" s="6" t="s">
        <v>4272</v>
      </c>
      <c r="B1199" s="7">
        <v>45120</v>
      </c>
      <c r="C1199" s="6" t="s">
        <v>4273</v>
      </c>
      <c r="D1199" s="6" t="s">
        <v>32</v>
      </c>
      <c r="E1199">
        <v>2</v>
      </c>
      <c r="F1199">
        <v>436.84</v>
      </c>
      <c r="G1199" s="6" t="s">
        <v>42</v>
      </c>
      <c r="H1199" s="6" t="s">
        <v>27</v>
      </c>
      <c r="I1199" s="6" t="s">
        <v>50</v>
      </c>
      <c r="J1199" s="6" t="s">
        <v>4274</v>
      </c>
      <c r="K1199">
        <v>2</v>
      </c>
      <c r="L1199" s="6" t="s">
        <v>37</v>
      </c>
      <c r="M1199" s="6" t="s">
        <v>22</v>
      </c>
      <c r="N1199">
        <v>873.68</v>
      </c>
    </row>
    <row r="1200" spans="1:14" x14ac:dyDescent="0.35">
      <c r="A1200" s="6" t="s">
        <v>4275</v>
      </c>
      <c r="B1200" s="7">
        <v>45526</v>
      </c>
      <c r="C1200" s="6" t="s">
        <v>4276</v>
      </c>
      <c r="D1200" s="6" t="s">
        <v>41</v>
      </c>
      <c r="E1200">
        <v>4</v>
      </c>
      <c r="F1200">
        <v>262.52</v>
      </c>
      <c r="G1200" s="6" t="s">
        <v>4277</v>
      </c>
      <c r="H1200" s="6" t="s">
        <v>18</v>
      </c>
      <c r="I1200" s="6" t="s">
        <v>35</v>
      </c>
      <c r="J1200" s="6" t="s">
        <v>4278</v>
      </c>
      <c r="K1200">
        <v>4</v>
      </c>
      <c r="L1200" s="6" t="s">
        <v>81</v>
      </c>
      <c r="M1200" s="6" t="s">
        <v>22</v>
      </c>
      <c r="N1200">
        <v>1050.08</v>
      </c>
    </row>
    <row r="1201" spans="1:14" x14ac:dyDescent="0.35">
      <c r="A1201" s="6" t="s">
        <v>4279</v>
      </c>
      <c r="B1201" s="7">
        <v>45088</v>
      </c>
      <c r="C1201" s="6" t="s">
        <v>4280</v>
      </c>
      <c r="D1201" s="6" t="s">
        <v>32</v>
      </c>
      <c r="E1201">
        <v>4</v>
      </c>
      <c r="F1201">
        <v>560.58000000000004</v>
      </c>
      <c r="G1201" s="6" t="s">
        <v>4281</v>
      </c>
      <c r="H1201" s="6" t="s">
        <v>60</v>
      </c>
      <c r="I1201" s="6" t="s">
        <v>43</v>
      </c>
      <c r="J1201" s="6" t="s">
        <v>4282</v>
      </c>
      <c r="K1201">
        <v>6</v>
      </c>
      <c r="L1201" s="6" t="s">
        <v>21</v>
      </c>
      <c r="M1201" s="6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EE65-935E-4C4C-A0FD-B86107EBCEA7}">
  <dimension ref="A1:E9"/>
  <sheetViews>
    <sheetView zoomScale="99" zoomScaleNormal="149" workbookViewId="0">
      <selection activeCell="D13" sqref="D13"/>
    </sheetView>
  </sheetViews>
  <sheetFormatPr defaultRowHeight="14.5" x14ac:dyDescent="0.35"/>
  <cols>
    <col min="1" max="1" width="9.26953125" bestFit="1" customWidth="1"/>
    <col min="2" max="2" width="9.7265625" bestFit="1" customWidth="1"/>
    <col min="3" max="3" width="10.54296875" bestFit="1" customWidth="1"/>
    <col min="4" max="4" width="11.7265625" bestFit="1" customWidth="1"/>
    <col min="5" max="5" width="51" customWidth="1"/>
  </cols>
  <sheetData>
    <row r="1" spans="1:5" ht="21" x14ac:dyDescent="0.5">
      <c r="A1" s="28" t="s">
        <v>4284</v>
      </c>
      <c r="B1" s="28"/>
      <c r="C1" s="28"/>
      <c r="D1" s="28"/>
      <c r="E1" s="28"/>
    </row>
    <row r="3" spans="1:5" x14ac:dyDescent="0.35">
      <c r="A3" s="8" t="s">
        <v>4285</v>
      </c>
      <c r="B3" s="8" t="s">
        <v>4286</v>
      </c>
      <c r="C3" s="8" t="s">
        <v>4287</v>
      </c>
      <c r="D3" s="8" t="s">
        <v>4288</v>
      </c>
    </row>
    <row r="4" spans="1:5" x14ac:dyDescent="0.35">
      <c r="A4" t="s">
        <v>4289</v>
      </c>
      <c r="B4" s="9">
        <f>AVERAGE('PROJECT 2'!E:E)</f>
        <v>2.9458333333333333</v>
      </c>
      <c r="C4" s="9">
        <f>AVERAGE('PROJECT 2'!F:F)</f>
        <v>356.41275000000007</v>
      </c>
      <c r="D4" s="9">
        <f>AVERAGE('PROJECT 2'!N:N)</f>
        <v>1053.9683000000005</v>
      </c>
    </row>
    <row r="5" spans="1:5" x14ac:dyDescent="0.35">
      <c r="A5" t="s">
        <v>4290</v>
      </c>
      <c r="B5">
        <f>MEDIAN('PROJECT 2'!E:E)</f>
        <v>3</v>
      </c>
      <c r="C5">
        <f>MEDIAN('PROJECT 2'!F:F)</f>
        <v>364.21</v>
      </c>
      <c r="D5" s="9">
        <f>MEDIAN('PROJECT 2'!N:N)</f>
        <v>823.61500000000001</v>
      </c>
    </row>
    <row r="6" spans="1:5" x14ac:dyDescent="0.35">
      <c r="A6" t="s">
        <v>4291</v>
      </c>
      <c r="B6" s="9">
        <f>_xlfn.STDEV.S('PROJECT 2'!E:E)</f>
        <v>1.4075570987983175</v>
      </c>
      <c r="C6" s="9">
        <f>_xlfn.STDEV.S('PROJECT 2'!F:F)</f>
        <v>197.17714641491236</v>
      </c>
      <c r="D6" s="9">
        <f>_xlfn.STDEV.S('PROJECT 2'!N:N)</f>
        <v>819.85655836464559</v>
      </c>
    </row>
    <row r="7" spans="1:5" x14ac:dyDescent="0.35">
      <c r="A7" t="s">
        <v>4292</v>
      </c>
      <c r="B7">
        <f>COUNT('PROJECT 2'!E:E)</f>
        <v>1200</v>
      </c>
      <c r="C7">
        <f>COUNT('PROJECT 2'!F:F)</f>
        <v>1200</v>
      </c>
      <c r="D7">
        <f>COUNT('PROJECT 2'!N:N)</f>
        <v>1200</v>
      </c>
    </row>
    <row r="8" spans="1:5" x14ac:dyDescent="0.35">
      <c r="A8" t="s">
        <v>4293</v>
      </c>
      <c r="B8">
        <f>MIN('PROJECT 2'!E:E)</f>
        <v>1</v>
      </c>
      <c r="C8">
        <f>MIN('PROJECT 2'!F:F)</f>
        <v>11.39</v>
      </c>
      <c r="D8">
        <f>MIN('PROJECT 2'!N:N)</f>
        <v>11.39</v>
      </c>
    </row>
    <row r="9" spans="1:5" x14ac:dyDescent="0.35">
      <c r="A9" t="s">
        <v>4294</v>
      </c>
      <c r="B9">
        <f>MAX('PROJECT 2'!E:E)</f>
        <v>5</v>
      </c>
      <c r="C9">
        <f>MAX('PROJECT 2'!F:F)</f>
        <v>699.93</v>
      </c>
      <c r="D9">
        <f>MAX('PROJECT 2'!N:N)</f>
        <v>3456.4</v>
      </c>
    </row>
  </sheetData>
  <mergeCells count="1">
    <mergeCell ref="A1:E1"/>
  </mergeCells>
  <conditionalFormatting sqref="A2:D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B687-4E7F-477A-B9C4-337B5BEA203A}">
  <dimension ref="B2:H22"/>
  <sheetViews>
    <sheetView tabSelected="1" topLeftCell="C10" workbookViewId="0">
      <selection activeCell="G13" sqref="G13"/>
    </sheetView>
  </sheetViews>
  <sheetFormatPr defaultRowHeight="14.5" x14ac:dyDescent="0.35"/>
  <cols>
    <col min="2" max="2" width="21.7265625" bestFit="1" customWidth="1"/>
    <col min="3" max="3" width="16.81640625" customWidth="1"/>
    <col min="4" max="4" width="81.1796875" customWidth="1"/>
    <col min="5" max="5" width="12.7265625" customWidth="1"/>
    <col min="7" max="7" width="16.1796875" customWidth="1"/>
    <col min="8" max="8" width="18.1796875" bestFit="1" customWidth="1"/>
  </cols>
  <sheetData>
    <row r="2" spans="2:8" ht="28.5" x14ac:dyDescent="0.65">
      <c r="B2" s="29" t="s">
        <v>4296</v>
      </c>
      <c r="C2" s="29"/>
      <c r="D2" s="29"/>
    </row>
    <row r="3" spans="2:8" x14ac:dyDescent="0.35">
      <c r="B3" s="10" t="s">
        <v>4297</v>
      </c>
      <c r="D3">
        <f>_xlfn.QUARTILE.INC('PROJECT 2'!N:N,1)</f>
        <v>410.52</v>
      </c>
    </row>
    <row r="4" spans="2:8" x14ac:dyDescent="0.35">
      <c r="B4" s="10" t="s">
        <v>4298</v>
      </c>
      <c r="D4" s="9">
        <f>_xlfn.QUARTILE.INC('PROJECT 2'!N:N,3)</f>
        <v>1578.4749999999999</v>
      </c>
    </row>
    <row r="5" spans="2:8" x14ac:dyDescent="0.35">
      <c r="B5" s="10" t="s">
        <v>4299</v>
      </c>
      <c r="D5" s="9">
        <f>D4-D3</f>
        <v>1167.9549999999999</v>
      </c>
    </row>
    <row r="6" spans="2:8" x14ac:dyDescent="0.35">
      <c r="B6" s="10" t="s">
        <v>4300</v>
      </c>
      <c r="D6" s="9">
        <f>D4+(1.5*D5)</f>
        <v>3330.4074999999998</v>
      </c>
    </row>
    <row r="7" spans="2:8" x14ac:dyDescent="0.35">
      <c r="B7" s="10" t="s">
        <v>4301</v>
      </c>
      <c r="D7" s="9">
        <f>D3-(1.5*D5)</f>
        <v>-1341.4124999999999</v>
      </c>
    </row>
    <row r="8" spans="2:8" x14ac:dyDescent="0.35">
      <c r="B8" s="10" t="s">
        <v>4302</v>
      </c>
      <c r="D8">
        <f>COUNTIF('PROJECT 2'!N:N,"&gt;3330.41")</f>
        <v>8</v>
      </c>
    </row>
    <row r="11" spans="2:8" x14ac:dyDescent="0.35">
      <c r="B11" s="16" t="s">
        <v>4303</v>
      </c>
      <c r="C11" s="17" t="s">
        <v>4304</v>
      </c>
      <c r="D11" s="17" t="s">
        <v>4305</v>
      </c>
      <c r="E11" s="17" t="s">
        <v>4295</v>
      </c>
      <c r="F11" s="19"/>
      <c r="G11" s="17" t="s">
        <v>4306</v>
      </c>
      <c r="H11" s="17" t="s">
        <v>4307</v>
      </c>
    </row>
    <row r="12" spans="2:8" ht="29" x14ac:dyDescent="0.35">
      <c r="B12" s="13" t="s">
        <v>460</v>
      </c>
      <c r="C12" s="14">
        <v>45012</v>
      </c>
      <c r="D12" s="12" t="s">
        <v>461</v>
      </c>
      <c r="E12" s="11" t="s">
        <v>48</v>
      </c>
      <c r="F12" s="10"/>
      <c r="G12" s="15">
        <v>3353.75</v>
      </c>
      <c r="H12" s="13" t="s">
        <v>4308</v>
      </c>
    </row>
    <row r="13" spans="2:8" ht="29" x14ac:dyDescent="0.35">
      <c r="B13" s="13" t="s">
        <v>1291</v>
      </c>
      <c r="C13" s="14">
        <v>45474</v>
      </c>
      <c r="D13" s="12" t="s">
        <v>1292</v>
      </c>
      <c r="E13" s="11" t="s">
        <v>58</v>
      </c>
      <c r="F13" s="10"/>
      <c r="G13" s="15">
        <v>3352.4</v>
      </c>
      <c r="H13" s="13" t="s">
        <v>4308</v>
      </c>
    </row>
    <row r="14" spans="2:8" ht="29" x14ac:dyDescent="0.35">
      <c r="B14" s="13" t="s">
        <v>1297</v>
      </c>
      <c r="C14" s="14">
        <v>44985</v>
      </c>
      <c r="D14" s="12" t="s">
        <v>1298</v>
      </c>
      <c r="E14" s="11" t="s">
        <v>32</v>
      </c>
      <c r="F14" s="10"/>
      <c r="G14" s="15">
        <v>3370.2</v>
      </c>
      <c r="H14" s="13" t="s">
        <v>4308</v>
      </c>
    </row>
    <row r="15" spans="2:8" ht="29" x14ac:dyDescent="0.35">
      <c r="B15" s="13" t="s">
        <v>1810</v>
      </c>
      <c r="C15" s="14">
        <v>45256</v>
      </c>
      <c r="D15" s="12" t="s">
        <v>1811</v>
      </c>
      <c r="E15" s="11" t="s">
        <v>41</v>
      </c>
      <c r="F15" s="10"/>
      <c r="G15" s="15">
        <v>3384.9</v>
      </c>
      <c r="H15" s="13" t="s">
        <v>4308</v>
      </c>
    </row>
    <row r="16" spans="2:8" ht="29" x14ac:dyDescent="0.35">
      <c r="B16" s="13" t="s">
        <v>2376</v>
      </c>
      <c r="C16" s="14">
        <v>45048</v>
      </c>
      <c r="D16" s="12" t="s">
        <v>2377</v>
      </c>
      <c r="E16" s="11" t="s">
        <v>58</v>
      </c>
      <c r="F16" s="10"/>
      <c r="G16" s="15">
        <v>3390.8</v>
      </c>
      <c r="H16" s="13" t="s">
        <v>4308</v>
      </c>
    </row>
    <row r="17" spans="2:8" ht="29" x14ac:dyDescent="0.35">
      <c r="B17" s="13" t="s">
        <v>2917</v>
      </c>
      <c r="C17" s="14">
        <v>45155</v>
      </c>
      <c r="D17" s="12" t="s">
        <v>2918</v>
      </c>
      <c r="E17" s="11" t="s">
        <v>32</v>
      </c>
      <c r="F17" s="10"/>
      <c r="G17" s="15">
        <v>3456.4</v>
      </c>
      <c r="H17" s="13" t="s">
        <v>4308</v>
      </c>
    </row>
    <row r="18" spans="2:8" ht="29" x14ac:dyDescent="0.35">
      <c r="B18" s="13" t="s">
        <v>3836</v>
      </c>
      <c r="C18" s="14">
        <v>45229</v>
      </c>
      <c r="D18" s="12" t="s">
        <v>3837</v>
      </c>
      <c r="E18" s="11" t="s">
        <v>48</v>
      </c>
      <c r="F18" s="10"/>
      <c r="G18" s="15">
        <v>3334</v>
      </c>
      <c r="H18" s="13" t="s">
        <v>4308</v>
      </c>
    </row>
    <row r="19" spans="2:8" ht="29" x14ac:dyDescent="0.35">
      <c r="B19" s="13" t="s">
        <v>4022</v>
      </c>
      <c r="C19" s="14">
        <v>45084</v>
      </c>
      <c r="D19" s="12" t="s">
        <v>1065</v>
      </c>
      <c r="E19" s="11" t="s">
        <v>16</v>
      </c>
      <c r="F19" s="10"/>
      <c r="G19" s="15">
        <v>3390.95</v>
      </c>
      <c r="H19" s="13" t="s">
        <v>4308</v>
      </c>
    </row>
    <row r="20" spans="2:8" x14ac:dyDescent="0.35">
      <c r="B20" s="10"/>
      <c r="C20" s="10"/>
    </row>
    <row r="21" spans="2:8" x14ac:dyDescent="0.35">
      <c r="B21" s="10"/>
      <c r="C21" s="10"/>
    </row>
    <row r="22" spans="2:8" x14ac:dyDescent="0.35">
      <c r="B22" s="10"/>
      <c r="C22" s="10"/>
    </row>
  </sheetData>
  <mergeCells count="1">
    <mergeCell ref="B2:D2"/>
  </mergeCells>
  <conditionalFormatting sqref="A1:D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4900-C88A-45C1-83C5-43B65F43DC27}">
  <dimension ref="B2:J11"/>
  <sheetViews>
    <sheetView topLeftCell="A2" workbookViewId="0">
      <selection activeCell="G10" sqref="G10"/>
    </sheetView>
  </sheetViews>
  <sheetFormatPr defaultRowHeight="14.5" x14ac:dyDescent="0.35"/>
  <cols>
    <col min="2" max="2" width="16.453125" bestFit="1" customWidth="1"/>
    <col min="4" max="4" width="9.6328125" bestFit="1" customWidth="1"/>
    <col min="6" max="7" width="10.90625" bestFit="1" customWidth="1"/>
    <col min="8" max="9" width="11.26953125" bestFit="1" customWidth="1"/>
  </cols>
  <sheetData>
    <row r="2" spans="2:10" ht="23.5" x14ac:dyDescent="0.55000000000000004">
      <c r="C2" s="20" t="s">
        <v>4286</v>
      </c>
      <c r="D2" s="20"/>
      <c r="E2" s="20" t="s">
        <v>4313</v>
      </c>
      <c r="F2" s="20"/>
      <c r="G2" s="20" t="s">
        <v>4314</v>
      </c>
      <c r="H2" s="20"/>
      <c r="I2" s="20" t="s">
        <v>4315</v>
      </c>
      <c r="J2" s="18"/>
    </row>
    <row r="4" spans="2:10" ht="21" x14ac:dyDescent="0.5">
      <c r="B4" s="21" t="s">
        <v>4286</v>
      </c>
      <c r="C4" s="22">
        <v>1</v>
      </c>
      <c r="D4" s="22"/>
      <c r="E4" s="22">
        <f>CORREL(CLEANED!E2:E1201, CLEANED!F2:F1201)</f>
        <v>1.4553341185454998E-2</v>
      </c>
      <c r="F4" s="22"/>
      <c r="G4" s="22">
        <f>CORREL(CLEANED!E2:E1201, CLEANED!N2:N1201)</f>
        <v>0.61525136334670683</v>
      </c>
      <c r="H4" s="22"/>
      <c r="I4" s="22">
        <f>CORREL(CLEANED!E2:E1201, CLEANED!K2:K1201)</f>
        <v>0.65006122572385383</v>
      </c>
    </row>
    <row r="5" spans="2:10" ht="21" x14ac:dyDescent="0.5">
      <c r="B5" s="21"/>
      <c r="C5" s="22"/>
      <c r="D5" s="22"/>
      <c r="E5" s="22"/>
      <c r="F5" s="22"/>
      <c r="G5" s="22"/>
      <c r="H5" s="22"/>
      <c r="I5" s="22"/>
    </row>
    <row r="6" spans="2:10" ht="21" x14ac:dyDescent="0.5">
      <c r="B6" s="21" t="s">
        <v>4313</v>
      </c>
      <c r="C6" s="22">
        <f>CORREL(CLEANED!E2:E1201, CLEANED!F2:F1201)</f>
        <v>1.4553341185454998E-2</v>
      </c>
      <c r="D6" s="22"/>
      <c r="E6" s="22">
        <v>1</v>
      </c>
      <c r="F6" s="22"/>
      <c r="G6" s="22">
        <f>CORREL(CLEANED!F2:F1201, CLEANED!N2:N1201)</f>
        <v>0.717081089263781</v>
      </c>
      <c r="H6" s="22"/>
      <c r="I6" s="22">
        <f>CORREL(CLEANED!E2:E1201, CLEANED!K2:K1201)</f>
        <v>0.65006122572385383</v>
      </c>
    </row>
    <row r="7" spans="2:10" ht="21" x14ac:dyDescent="0.5">
      <c r="B7" s="21"/>
      <c r="C7" s="22"/>
      <c r="D7" s="22"/>
      <c r="E7" s="22"/>
      <c r="F7" s="22"/>
      <c r="G7" s="22"/>
      <c r="H7" s="22"/>
      <c r="I7" s="22"/>
    </row>
    <row r="8" spans="2:10" ht="21" x14ac:dyDescent="0.5">
      <c r="B8" s="21" t="s">
        <v>4314</v>
      </c>
      <c r="C8" s="22">
        <f>CORREL(CLEANED!E2:E1201, CLEANED!N2:N1201)</f>
        <v>0.61525136334670683</v>
      </c>
      <c r="D8" s="22"/>
      <c r="E8" s="22">
        <f>CORREL(CLEANED!F2:F1201, CLEANED!N2:N1201)</f>
        <v>0.717081089263781</v>
      </c>
      <c r="F8" s="22"/>
      <c r="G8" s="22">
        <v>1</v>
      </c>
      <c r="H8" s="22"/>
      <c r="I8" s="22">
        <f>CORREL(CLEANED!N2:N1201, CLEANED!K2:K1201)</f>
        <v>0.39254026040686657</v>
      </c>
    </row>
    <row r="9" spans="2:10" ht="21" x14ac:dyDescent="0.5">
      <c r="B9" s="21"/>
      <c r="C9" s="22"/>
      <c r="D9" s="22"/>
      <c r="E9" s="22"/>
      <c r="F9" s="22"/>
      <c r="G9" s="22"/>
      <c r="H9" s="22"/>
      <c r="I9" s="22"/>
    </row>
    <row r="10" spans="2:10" ht="21" x14ac:dyDescent="0.5">
      <c r="B10" s="21" t="s">
        <v>4315</v>
      </c>
      <c r="C10" s="22">
        <f>CORREL(CLEANED!E2:E1201, CLEANED!K2:K1201)</f>
        <v>0.65006122572385383</v>
      </c>
      <c r="D10" s="22"/>
      <c r="E10" s="22">
        <f>CORREL(CLEANED!F2:F1201, CLEANED!K2:K1201)</f>
        <v>6.0215368110683881E-4</v>
      </c>
      <c r="F10" s="22"/>
      <c r="G10" s="22">
        <f>CORREL(CLEANED!N2:N1201, CLEANED!K2:K1201)</f>
        <v>0.39254026040686657</v>
      </c>
      <c r="H10" s="22"/>
      <c r="I10" s="22">
        <v>1</v>
      </c>
    </row>
    <row r="11" spans="2:10" ht="15.5" x14ac:dyDescent="0.35">
      <c r="C11" s="22"/>
      <c r="D11" s="22"/>
      <c r="E11" s="22"/>
      <c r="F11" s="22"/>
      <c r="G11" s="22"/>
      <c r="H11" s="22"/>
      <c r="I11" s="22"/>
    </row>
  </sheetData>
  <conditionalFormatting sqref="B2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6B1A-8FE1-46A6-9CEE-6D0F3F76EE43}">
  <dimension ref="A1:D33"/>
  <sheetViews>
    <sheetView topLeftCell="A10" zoomScale="87" zoomScaleNormal="115" workbookViewId="0">
      <selection activeCell="E20" sqref="E20"/>
    </sheetView>
  </sheetViews>
  <sheetFormatPr defaultColWidth="18.6328125" defaultRowHeight="14.5" x14ac:dyDescent="0.35"/>
  <cols>
    <col min="1" max="1" width="29.36328125" customWidth="1"/>
    <col min="2" max="2" width="28.453125" customWidth="1"/>
    <col min="4" max="4" width="20.90625" bestFit="1" customWidth="1"/>
  </cols>
  <sheetData>
    <row r="1" spans="1:4" x14ac:dyDescent="0.35">
      <c r="A1" s="18"/>
      <c r="B1" s="17" t="s">
        <v>4321</v>
      </c>
      <c r="C1" s="24"/>
      <c r="D1" s="18"/>
    </row>
    <row r="2" spans="1:4" x14ac:dyDescent="0.35">
      <c r="A2" s="27" t="s">
        <v>4295</v>
      </c>
      <c r="B2" s="27" t="s">
        <v>4322</v>
      </c>
      <c r="C2" s="27" t="s">
        <v>4323</v>
      </c>
      <c r="D2" s="27" t="s">
        <v>4324</v>
      </c>
    </row>
    <row r="3" spans="1:4" x14ac:dyDescent="0.35">
      <c r="A3" t="s">
        <v>41</v>
      </c>
      <c r="B3">
        <f>COUNTIF(CLEANED!$D$2:$D$1201, A3)</f>
        <v>178</v>
      </c>
      <c r="C3" s="23">
        <f>SUMIF(CLEANED!$D$2:$D$1201, A3, CLEANED!$N$2:$N$1201)</f>
        <v>195620.11000000002</v>
      </c>
      <c r="D3" s="23">
        <f>AVERAGEIF(CLEANED!$D$2:$D$1201, A3, CLEANED!$N$2:$N$1201)</f>
        <v>1098.989382022472</v>
      </c>
    </row>
    <row r="4" spans="1:4" x14ac:dyDescent="0.35">
      <c r="A4" t="s">
        <v>73</v>
      </c>
      <c r="B4">
        <f>COUNTIF(CLEANED!$D$2:$D$1201, A4)</f>
        <v>170</v>
      </c>
      <c r="C4" s="23">
        <f>SUMIF(CLEANED!$D$2:$D$1201, A4, CLEANED!$N$2:$N$1201)</f>
        <v>167459.93</v>
      </c>
      <c r="D4" s="23">
        <f>AVERAGEIF(CLEANED!$D$2:$D$1201, A4, CLEANED!$N$2:$N$1201)</f>
        <v>985.05841176470585</v>
      </c>
    </row>
    <row r="5" spans="1:4" x14ac:dyDescent="0.35">
      <c r="A5" t="s">
        <v>58</v>
      </c>
      <c r="B5">
        <f>COUNTIF(CLEANED!$D$2:$D$1201, A5)</f>
        <v>173</v>
      </c>
      <c r="C5" s="23">
        <f>SUMIF(CLEANED!$D$2:$D$1201, A5, CLEANED!$N$2:$N$1201)</f>
        <v>192126.55999999994</v>
      </c>
      <c r="D5" s="23">
        <f>AVERAGEIF(CLEANED!$D$2:$D$1201, A5, CLEANED!$N$2:$N$1201)</f>
        <v>1110.558150289017</v>
      </c>
    </row>
    <row r="6" spans="1:4" x14ac:dyDescent="0.35">
      <c r="A6" t="s">
        <v>16</v>
      </c>
      <c r="B6">
        <f>COUNTIF(CLEANED!$D$2:$D$1201, A6)</f>
        <v>163</v>
      </c>
      <c r="C6" s="23">
        <f>SUMIF(CLEANED!$D$2:$D$1201, A6, CLEANED!$N$2:$N$1201)</f>
        <v>175651.40999999997</v>
      </c>
      <c r="D6" s="23">
        <f>AVERAGEIF(CLEANED!$D$2:$D$1201, A6, CLEANED!$N$2:$N$1201)</f>
        <v>1077.6160122699384</v>
      </c>
    </row>
    <row r="7" spans="1:4" x14ac:dyDescent="0.35">
      <c r="A7" t="s">
        <v>25</v>
      </c>
      <c r="B7">
        <f>COUNTIF(CLEANED!$D$2:$D$1201, A7)</f>
        <v>156</v>
      </c>
      <c r="C7" s="23">
        <f>SUMIF(CLEANED!$D$2:$D$1201, A7, CLEANED!$N$2:$N$1201)</f>
        <v>151722.39000000001</v>
      </c>
      <c r="D7" s="23">
        <f>AVERAGEIF(CLEANED!$D$2:$D$1201, A7, CLEANED!$N$2:$N$1201)</f>
        <v>972.57942307692315</v>
      </c>
    </row>
    <row r="8" spans="1:4" x14ac:dyDescent="0.35">
      <c r="A8" t="s">
        <v>48</v>
      </c>
      <c r="B8">
        <f>COUNTIF(CLEANED!$D$2:$D$1201, A8)</f>
        <v>181</v>
      </c>
      <c r="C8" s="23">
        <f>SUMIF(CLEANED!$D$2:$D$1201, A8, CLEANED!$N$2:$N$1201)</f>
        <v>195612.60999999996</v>
      </c>
      <c r="D8" s="23">
        <f>AVERAGEIF(CLEANED!$D$2:$D$1201, A8, CLEANED!$N$2:$N$1201)</f>
        <v>1080.7326519337014</v>
      </c>
    </row>
    <row r="9" spans="1:4" x14ac:dyDescent="0.35">
      <c r="A9" t="s">
        <v>32</v>
      </c>
      <c r="B9">
        <f>COUNTIF(CLEANED!$D$2:$D$1201, A9)</f>
        <v>179</v>
      </c>
      <c r="C9" s="23">
        <f>SUMIF(CLEANED!$D$2:$D$1201, A9, CLEANED!$N$2:$N$1201)</f>
        <v>186568.95000000007</v>
      </c>
      <c r="D9" s="23">
        <f>AVERAGEIF(CLEANED!$D$2:$D$1201, A9, CLEANED!$N$2:$N$1201)</f>
        <v>1042.2846368715088</v>
      </c>
    </row>
    <row r="11" spans="1:4" x14ac:dyDescent="0.35">
      <c r="A11" s="24"/>
      <c r="B11" s="25" t="s">
        <v>4325</v>
      </c>
      <c r="C11" s="26"/>
      <c r="D11" s="26"/>
    </row>
    <row r="12" spans="1:4" x14ac:dyDescent="0.35">
      <c r="A12" s="27" t="s">
        <v>4326</v>
      </c>
      <c r="B12" s="27" t="s">
        <v>4322</v>
      </c>
      <c r="C12" s="27" t="s">
        <v>4323</v>
      </c>
      <c r="D12" s="27" t="s">
        <v>4324</v>
      </c>
    </row>
    <row r="13" spans="1:4" x14ac:dyDescent="0.35">
      <c r="A13" t="s">
        <v>19</v>
      </c>
      <c r="B13">
        <f>COUNTIF(CLEANED!$I$2:$I$1201, A13)</f>
        <v>235</v>
      </c>
      <c r="C13" s="23">
        <f>SUMIF(CLEANED!$I$2:$I$1201, A13, CLEANED!$N$2:$N$1201)</f>
        <v>246159.57999999987</v>
      </c>
      <c r="D13" s="23">
        <f>AVERAGEIF(CLEANED!$I$2:$I$1201, A13, CLEANED!$N$2:$N$1201)</f>
        <v>1047.4875744680846</v>
      </c>
    </row>
    <row r="14" spans="1:4" x14ac:dyDescent="0.35">
      <c r="A14" t="s">
        <v>50</v>
      </c>
      <c r="B14">
        <f>COUNTIF(CLEANED!$I$2:$I$1201, A14)</f>
        <v>231</v>
      </c>
      <c r="C14" s="23">
        <f>SUMIF(CLEANED!$I$2:$I$1201, A14, CLEANED!$N$2:$N$1201)</f>
        <v>242600.31999999998</v>
      </c>
      <c r="D14" s="23">
        <f>AVERAGEIF(CLEANED!$I$2:$I$1201, A14, CLEANED!$N$2:$N$1201)</f>
        <v>1050.2178354978355</v>
      </c>
    </row>
    <row r="15" spans="1:4" x14ac:dyDescent="0.35">
      <c r="A15" t="s">
        <v>89</v>
      </c>
      <c r="B15">
        <f>COUNTIF(CLEANED!$I$2:$I$1201, A15)</f>
        <v>237</v>
      </c>
      <c r="C15" s="23">
        <f>SUMIF(CLEANED!$I$2:$I$1201, A15, CLEANED!$N$2:$N$1201)</f>
        <v>256328.15000000002</v>
      </c>
      <c r="D15" s="23">
        <f>AVERAGEIF(CLEANED!$I$2:$I$1201, A15, CLEANED!$N$2:$N$1201)</f>
        <v>1081.5533755274262</v>
      </c>
    </row>
    <row r="16" spans="1:4" x14ac:dyDescent="0.35">
      <c r="A16" t="s">
        <v>43</v>
      </c>
      <c r="B16">
        <f>COUNTIF(CLEANED!$I$2:$I$1201, A16)</f>
        <v>247</v>
      </c>
      <c r="C16" s="23">
        <f>SUMIF(CLEANED!$I$2:$I$1201, A16, CLEANED!$N$2:$N$1201)</f>
        <v>243277.70000000013</v>
      </c>
      <c r="D16" s="23">
        <f>AVERAGEIF(CLEANED!$I$2:$I$1201, A16, CLEANED!$N$2:$N$1201)</f>
        <v>984.9299595141706</v>
      </c>
    </row>
    <row r="17" spans="1:4" x14ac:dyDescent="0.35">
      <c r="A17" t="s">
        <v>35</v>
      </c>
      <c r="B17">
        <f>COUNTIF(CLEANED!$I$2:$I$1201, A17)</f>
        <v>250</v>
      </c>
      <c r="C17" s="23">
        <f>SUMIF(CLEANED!$I$2:$I$1201, A17, CLEANED!$N$2:$N$1201)</f>
        <v>276396.20999999996</v>
      </c>
      <c r="D17" s="23">
        <f>AVERAGEIF(CLEANED!$I$2:$I$1201, A17, CLEANED!$N$2:$N$1201)</f>
        <v>1105.5848399999998</v>
      </c>
    </row>
    <row r="19" spans="1:4" x14ac:dyDescent="0.35">
      <c r="A19" s="17"/>
      <c r="B19" s="17" t="s">
        <v>4327</v>
      </c>
      <c r="C19" s="17"/>
      <c r="D19" s="17"/>
    </row>
    <row r="20" spans="1:4" x14ac:dyDescent="0.35">
      <c r="A20" s="27" t="s">
        <v>4328</v>
      </c>
      <c r="B20" s="27" t="s">
        <v>4322</v>
      </c>
      <c r="C20" s="27" t="s">
        <v>4323</v>
      </c>
      <c r="D20" s="27" t="s">
        <v>4324</v>
      </c>
    </row>
    <row r="21" spans="1:4" x14ac:dyDescent="0.35">
      <c r="A21" t="s">
        <v>65</v>
      </c>
      <c r="B21">
        <f>COUNTIF(CLEANED!$H$2:$H$1201, A21)</f>
        <v>246</v>
      </c>
      <c r="C21" s="23">
        <f>SUMIF(CLEANED!$H$2:$H$1201, A21, CLEANED!$N$2:$N$1201)</f>
        <v>259786.28999999992</v>
      </c>
      <c r="D21" s="23">
        <f>AVERAGEIF(CLEANED!$H$2:$H$1201, A21, CLEANED!$N$2:$N$1201)</f>
        <v>1056.0418292682923</v>
      </c>
    </row>
    <row r="22" spans="1:4" x14ac:dyDescent="0.35">
      <c r="A22" t="s">
        <v>34</v>
      </c>
      <c r="B22">
        <f>COUNTIF(CLEANED!$H$2:$H$1201, A22)</f>
        <v>234</v>
      </c>
      <c r="C22" s="23">
        <f>SUMIF(CLEANED!$H$2:$H$1201, A22, CLEANED!$N$2:$N$1201)</f>
        <v>263847.62999999989</v>
      </c>
      <c r="D22" s="23">
        <f>AVERAGEIF(CLEANED!$H$2:$H$1201, A22, CLEANED!$N$2:$N$1201)</f>
        <v>1127.5539743589738</v>
      </c>
    </row>
    <row r="23" spans="1:4" x14ac:dyDescent="0.35">
      <c r="A23" t="s">
        <v>18</v>
      </c>
      <c r="B23">
        <f>COUNTIF(CLEANED!$H$2:$H$1201, A23)</f>
        <v>232</v>
      </c>
      <c r="C23" s="23">
        <f>SUMIF(CLEANED!$H$2:$H$1201, A23, CLEANED!$N$2:$N$1201)</f>
        <v>232361.17999999996</v>
      </c>
      <c r="D23" s="23">
        <f>AVERAGEIF(CLEANED!$H$2:$H$1201, A23, CLEANED!$N$2:$N$1201)</f>
        <v>1001.5568103448275</v>
      </c>
    </row>
    <row r="24" spans="1:4" x14ac:dyDescent="0.35">
      <c r="A24" t="s">
        <v>60</v>
      </c>
      <c r="B24">
        <f>COUNTIF(CLEANED!$H$2:$H$1201, A24)</f>
        <v>230</v>
      </c>
      <c r="C24" s="23">
        <f>SUMIF(CLEANED!$H$2:$H$1201, A24, CLEANED!$N$2:$N$1201)</f>
        <v>246323.9200000001</v>
      </c>
      <c r="D24" s="23">
        <f>AVERAGEIF(CLEANED!$H$2:$H$1201, A24, CLEANED!$N$2:$N$1201)</f>
        <v>1070.9735652173918</v>
      </c>
    </row>
    <row r="25" spans="1:4" x14ac:dyDescent="0.35">
      <c r="A25" t="s">
        <v>27</v>
      </c>
      <c r="B25">
        <f>COUNTIF(CLEANED!$H$2:$H$1201, A25)</f>
        <v>258</v>
      </c>
      <c r="C25" s="23">
        <f>SUMIF(CLEANED!$H$2:$H$1201, A25, CLEANED!$N$2:$N$1201)</f>
        <v>262442.94000000012</v>
      </c>
      <c r="D25" s="23">
        <f>AVERAGEIF(CLEANED!$H$2:$H$1201, A25, CLEANED!$N$2:$N$1201)</f>
        <v>1017.2206976744191</v>
      </c>
    </row>
    <row r="27" spans="1:4" x14ac:dyDescent="0.35">
      <c r="A27" s="17"/>
      <c r="B27" s="17" t="s">
        <v>4329</v>
      </c>
      <c r="C27" s="17"/>
      <c r="D27" s="17"/>
    </row>
    <row r="28" spans="1:4" x14ac:dyDescent="0.35">
      <c r="A28" s="27" t="s">
        <v>4330</v>
      </c>
      <c r="B28" s="27" t="s">
        <v>4322</v>
      </c>
      <c r="C28" s="27" t="s">
        <v>4323</v>
      </c>
      <c r="D28" s="27" t="s">
        <v>4331</v>
      </c>
    </row>
    <row r="29" spans="1:4" x14ac:dyDescent="0.35">
      <c r="A29" t="s">
        <v>38</v>
      </c>
      <c r="B29">
        <f>COUNTIF(CLEANED!$M$2:$M$1201, A29)</f>
        <v>250</v>
      </c>
      <c r="C29" s="23">
        <f>SUMIF(CLEANED!$M$2:$M$1201, A29, CLEANED!$N$2:$N$1201)</f>
        <v>261808.55000000002</v>
      </c>
      <c r="D29" s="23">
        <f>AVERAGEIF(CLEANED!$M$2:$M$1201, A29, CLEANED!$N$2:$N$1201)</f>
        <v>1047.2342000000001</v>
      </c>
    </row>
    <row r="30" spans="1:4" x14ac:dyDescent="0.35">
      <c r="A30" t="s">
        <v>45</v>
      </c>
      <c r="B30">
        <f>COUNTIF(CLEANED!$M$2:$M$1201, A30)</f>
        <v>228</v>
      </c>
      <c r="C30" s="23">
        <f>SUMIF(CLEANED!$M$2:$M$1201, A30, CLEANED!$N$2:$N$1201)</f>
        <v>250410.9</v>
      </c>
      <c r="D30" s="23">
        <f>AVERAGEIF(CLEANED!$M$2:$M$1201, A30, CLEANED!$N$2:$N$1201)</f>
        <v>1098.2934210526316</v>
      </c>
    </row>
    <row r="31" spans="1:4" x14ac:dyDescent="0.35">
      <c r="A31" t="s">
        <v>76</v>
      </c>
      <c r="B31">
        <f>COUNTIF(CLEANED!$M$2:$M$1201, A31)</f>
        <v>241</v>
      </c>
      <c r="C31" s="23">
        <f>SUMIF(CLEANED!$M$2:$M$1201, A31, CLEANED!$N$2:$N$1201)</f>
        <v>250441.47999999998</v>
      </c>
      <c r="D31" s="23">
        <f>AVERAGEIF(CLEANED!$M$2:$M$1201, A31, CLEANED!$N$2:$N$1201)</f>
        <v>1039.1762655601658</v>
      </c>
    </row>
    <row r="32" spans="1:4" x14ac:dyDescent="0.35">
      <c r="A32" t="s">
        <v>22</v>
      </c>
      <c r="B32">
        <f>COUNTIF(CLEANED!$M$2:$M$1201, A32)</f>
        <v>259</v>
      </c>
      <c r="C32" s="23">
        <f>SUMIF(CLEANED!$M$2:$M$1201, A32, CLEANED!$N$2:$N$1201)</f>
        <v>275285.45000000007</v>
      </c>
      <c r="D32" s="23">
        <f>AVERAGEIF(CLEANED!$M$2:$M$1201, A32, CLEANED!$N$2:$N$1201)</f>
        <v>1062.8781853281855</v>
      </c>
    </row>
    <row r="33" spans="1:4" x14ac:dyDescent="0.35">
      <c r="A33" t="s">
        <v>29</v>
      </c>
      <c r="B33">
        <f>COUNTIF(CLEANED!$M$2:$M$1201, A33)</f>
        <v>222</v>
      </c>
      <c r="C33" s="23">
        <f>SUMIF(CLEANED!$M$2:$M$1201, A33, CLEANED!$N$2:$N$1201)</f>
        <v>226815.5799999999</v>
      </c>
      <c r="D33" s="23">
        <f>AVERAGEIF(CLEANED!$M$2:$M$1201, A33, CLEANED!$N$2:$N$1201)</f>
        <v>1021.6918018018014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121C-1646-4C77-9202-F46BD95835D8}">
  <dimension ref="A1:F28"/>
  <sheetViews>
    <sheetView zoomScale="96" zoomScaleNormal="145" workbookViewId="0">
      <selection activeCell="B1" sqref="B1:C1"/>
    </sheetView>
  </sheetViews>
  <sheetFormatPr defaultRowHeight="14.5" x14ac:dyDescent="0.35"/>
  <cols>
    <col min="3" max="3" width="137.81640625" customWidth="1"/>
    <col min="4" max="4" width="20.54296875" customWidth="1"/>
  </cols>
  <sheetData>
    <row r="1" spans="1:5" ht="26" x14ac:dyDescent="0.6">
      <c r="B1" s="31" t="s">
        <v>4309</v>
      </c>
      <c r="C1" s="31"/>
    </row>
    <row r="2" spans="1:5" x14ac:dyDescent="0.35">
      <c r="A2" s="10">
        <v>1</v>
      </c>
      <c r="B2" s="30" t="s">
        <v>4310</v>
      </c>
      <c r="C2" s="30"/>
      <c r="D2" s="10"/>
      <c r="E2" s="10"/>
    </row>
    <row r="3" spans="1:5" x14ac:dyDescent="0.35">
      <c r="A3" s="10"/>
    </row>
    <row r="4" spans="1:5" x14ac:dyDescent="0.35">
      <c r="A4" s="10">
        <v>2</v>
      </c>
      <c r="B4" s="30" t="s">
        <v>4311</v>
      </c>
      <c r="C4" s="30"/>
    </row>
    <row r="5" spans="1:5" x14ac:dyDescent="0.35">
      <c r="A5" s="10"/>
    </row>
    <row r="6" spans="1:5" x14ac:dyDescent="0.35">
      <c r="A6" s="10">
        <v>3</v>
      </c>
      <c r="B6" s="30" t="s">
        <v>4316</v>
      </c>
      <c r="C6" s="30"/>
    </row>
    <row r="7" spans="1:5" x14ac:dyDescent="0.35">
      <c r="A7" s="10"/>
    </row>
    <row r="8" spans="1:5" x14ac:dyDescent="0.35">
      <c r="A8" s="10">
        <v>4</v>
      </c>
      <c r="B8" s="30" t="s">
        <v>4312</v>
      </c>
      <c r="C8" s="30"/>
      <c r="D8" s="30"/>
      <c r="E8" s="30"/>
    </row>
    <row r="10" spans="1:5" x14ac:dyDescent="0.35">
      <c r="A10" s="10">
        <v>5</v>
      </c>
      <c r="B10" s="30" t="s">
        <v>4318</v>
      </c>
      <c r="C10" s="30"/>
      <c r="D10" s="30"/>
    </row>
    <row r="12" spans="1:5" x14ac:dyDescent="0.35">
      <c r="A12" s="10">
        <v>6</v>
      </c>
      <c r="B12" s="30" t="s">
        <v>4320</v>
      </c>
      <c r="C12" s="30"/>
      <c r="D12" s="30"/>
    </row>
    <row r="14" spans="1:5" x14ac:dyDescent="0.35">
      <c r="A14" s="10">
        <v>7</v>
      </c>
      <c r="B14" s="30" t="s">
        <v>4317</v>
      </c>
      <c r="C14" s="30"/>
    </row>
    <row r="16" spans="1:5" x14ac:dyDescent="0.35">
      <c r="A16" s="10">
        <v>8</v>
      </c>
      <c r="B16" s="10" t="s">
        <v>4319</v>
      </c>
      <c r="C16" s="10"/>
    </row>
    <row r="18" spans="1:6" x14ac:dyDescent="0.35">
      <c r="A18" s="10"/>
    </row>
    <row r="23" spans="1:6" x14ac:dyDescent="0.35">
      <c r="E23" s="10"/>
      <c r="F23" s="10"/>
    </row>
    <row r="24" spans="1:6" x14ac:dyDescent="0.35">
      <c r="D24" s="10"/>
      <c r="E24" s="10"/>
      <c r="F24" s="10"/>
    </row>
    <row r="26" spans="1:6" x14ac:dyDescent="0.35">
      <c r="F26" s="10"/>
    </row>
    <row r="27" spans="1:6" x14ac:dyDescent="0.35">
      <c r="F27" s="10"/>
    </row>
    <row r="28" spans="1:6" x14ac:dyDescent="0.35">
      <c r="E28" s="10"/>
      <c r="F28" s="10"/>
    </row>
  </sheetData>
  <mergeCells count="8">
    <mergeCell ref="B14:C14"/>
    <mergeCell ref="B6:C6"/>
    <mergeCell ref="B1:C1"/>
    <mergeCell ref="B2:C2"/>
    <mergeCell ref="B4:C4"/>
    <mergeCell ref="B8:E8"/>
    <mergeCell ref="B10:D10"/>
    <mergeCell ref="B12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4D965-24BC-4588-B34C-369E93C8F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</vt:lpstr>
      <vt:lpstr>CLEANED</vt:lpstr>
      <vt:lpstr>PROJECT 2</vt:lpstr>
      <vt:lpstr>BASIC STATS</vt:lpstr>
      <vt:lpstr>OUTLIER</vt:lpstr>
      <vt:lpstr>CORRELATION</vt:lpstr>
      <vt:lpstr>SUMMARY TABLE</vt:lpstr>
      <vt:lpstr>KEY OBSERVATION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Abdulmajid Jimoh</dc:creator>
  <cp:keywords/>
  <dc:description/>
  <cp:lastModifiedBy>majidcabin9@outlook.com</cp:lastModifiedBy>
  <cp:revision/>
  <dcterms:created xsi:type="dcterms:W3CDTF">2025-06-21T13:19:12Z</dcterms:created>
  <dcterms:modified xsi:type="dcterms:W3CDTF">2026-09-05T10:45:42Z</dcterms:modified>
  <cp:category/>
  <cp:contentStatus/>
</cp:coreProperties>
</file>